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\Google Drive\Bennett Lab Drive\Tools\"/>
    </mc:Choice>
  </mc:AlternateContent>
  <xr:revisionPtr revIDLastSave="0" documentId="13_ncr:1_{ED5CBE29-D237-445C-8803-B9F840188049}" xr6:coauthVersionLast="34" xr6:coauthVersionMax="34" xr10:uidLastSave="{00000000-0000-0000-0000-000000000000}"/>
  <bookViews>
    <workbookView xWindow="0" yWindow="0" windowWidth="1704" windowHeight="0" tabRatio="659" xr2:uid="{00000000-000D-0000-FFFF-FFFF00000000}"/>
  </bookViews>
  <sheets>
    <sheet name="Cloning" sheetId="4" r:id="rId1"/>
    <sheet name="Oligos" sheetId="12" r:id="rId2"/>
    <sheet name="Oligo Order (Sigma)" sheetId="11" r:id="rId3"/>
    <sheet name="Printouts" sheetId="5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6" i="4" l="1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S6" i="4"/>
  <c r="AT7" i="4" l="1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6" i="4"/>
  <c r="AT4" i="4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S34" i="4"/>
  <c r="S42" i="4"/>
  <c r="S50" i="4"/>
  <c r="S58" i="4"/>
  <c r="S66" i="4"/>
  <c r="S82" i="4"/>
  <c r="S55" i="4"/>
  <c r="S35" i="4"/>
  <c r="S43" i="4"/>
  <c r="S51" i="4"/>
  <c r="S59" i="4"/>
  <c r="S67" i="4"/>
  <c r="S75" i="4"/>
  <c r="S87" i="4"/>
  <c r="S36" i="4"/>
  <c r="S44" i="4"/>
  <c r="S52" i="4"/>
  <c r="S60" i="4"/>
  <c r="S68" i="4"/>
  <c r="S76" i="4"/>
  <c r="S84" i="4"/>
  <c r="S61" i="4"/>
  <c r="S77" i="4"/>
  <c r="S78" i="4"/>
  <c r="S39" i="4"/>
  <c r="S79" i="4"/>
  <c r="S37" i="4"/>
  <c r="S45" i="4"/>
  <c r="S53" i="4"/>
  <c r="S69" i="4"/>
  <c r="S85" i="4"/>
  <c r="S47" i="4"/>
  <c r="S38" i="4"/>
  <c r="S46" i="4"/>
  <c r="S54" i="4"/>
  <c r="S62" i="4"/>
  <c r="S70" i="4"/>
  <c r="S86" i="4"/>
  <c r="S71" i="4"/>
  <c r="S40" i="4"/>
  <c r="S48" i="4"/>
  <c r="S56" i="4"/>
  <c r="S64" i="4"/>
  <c r="S72" i="4"/>
  <c r="S80" i="4"/>
  <c r="S41" i="4"/>
  <c r="S49" i="4"/>
  <c r="S57" i="4"/>
  <c r="S65" i="4"/>
  <c r="S73" i="4"/>
  <c r="S81" i="4"/>
  <c r="S74" i="4"/>
  <c r="S83" i="4"/>
  <c r="S63" i="4"/>
  <c r="S9" i="4"/>
  <c r="S17" i="4"/>
  <c r="S25" i="4"/>
  <c r="S33" i="4"/>
  <c r="S11" i="4"/>
  <c r="S27" i="4"/>
  <c r="S20" i="4"/>
  <c r="S28" i="4"/>
  <c r="S8" i="4"/>
  <c r="S32" i="4"/>
  <c r="S10" i="4"/>
  <c r="S18" i="4"/>
  <c r="S26" i="4"/>
  <c r="S19" i="4"/>
  <c r="S12" i="4"/>
  <c r="S23" i="4"/>
  <c r="S16" i="4"/>
  <c r="S13" i="4"/>
  <c r="S21" i="4"/>
  <c r="S29" i="4"/>
  <c r="S14" i="4"/>
  <c r="S22" i="4"/>
  <c r="S30" i="4"/>
  <c r="S7" i="4"/>
  <c r="S15" i="4"/>
  <c r="S31" i="4"/>
  <c r="S24" i="4"/>
  <c r="C358" i="12" l="1"/>
  <c r="C359" i="12"/>
  <c r="C360" i="11" l="1"/>
  <c r="C361" i="11"/>
  <c r="C362" i="11"/>
  <c r="C356" i="11"/>
  <c r="C357" i="11"/>
  <c r="C358" i="11"/>
  <c r="C359" i="11"/>
  <c r="C348" i="11"/>
  <c r="C349" i="11"/>
  <c r="C350" i="11"/>
  <c r="C351" i="11"/>
  <c r="C352" i="11"/>
  <c r="C353" i="11"/>
  <c r="C354" i="11"/>
  <c r="C355" i="11"/>
  <c r="Y81" i="4" l="1"/>
  <c r="AC81" i="4" s="1"/>
  <c r="AG81" i="4" s="1"/>
  <c r="AH81" i="4" s="1"/>
  <c r="AC5" i="4"/>
  <c r="AD5" i="4" s="1"/>
  <c r="AE5" i="4" s="1"/>
  <c r="AJ5" i="4"/>
  <c r="AK5" i="4" s="1"/>
  <c r="AP4" i="4"/>
  <c r="AQ4" i="4"/>
  <c r="AR4" i="4"/>
  <c r="AS4" i="4"/>
  <c r="AC4" i="4"/>
  <c r="AG4" i="4" s="1"/>
  <c r="AD4" i="4" l="1"/>
  <c r="AL5" i="4"/>
  <c r="AD81" i="4"/>
  <c r="AE81" i="4" s="1"/>
  <c r="AG5" i="4"/>
  <c r="AH5" i="4" s="1"/>
  <c r="AJ4" i="4" l="1"/>
  <c r="AL4" i="4" s="1"/>
  <c r="AK4" i="4" l="1"/>
  <c r="C328" i="12" l="1"/>
  <c r="A328" i="11" s="1"/>
  <c r="C329" i="12"/>
  <c r="C330" i="12"/>
  <c r="A330" i="11" s="1"/>
  <c r="C331" i="12"/>
  <c r="A331" i="11" s="1"/>
  <c r="C332" i="12"/>
  <c r="A332" i="11" s="1"/>
  <c r="C333" i="12"/>
  <c r="A333" i="11" s="1"/>
  <c r="C334" i="12"/>
  <c r="A334" i="11" s="1"/>
  <c r="C335" i="12"/>
  <c r="A335" i="11" s="1"/>
  <c r="C336" i="12"/>
  <c r="A336" i="11" s="1"/>
  <c r="C337" i="12"/>
  <c r="A337" i="11" s="1"/>
  <c r="C338" i="12"/>
  <c r="A338" i="11" s="1"/>
  <c r="C339" i="12"/>
  <c r="A339" i="11" s="1"/>
  <c r="C340" i="12"/>
  <c r="C341" i="12"/>
  <c r="C342" i="12"/>
  <c r="C343" i="12"/>
  <c r="C344" i="12"/>
  <c r="C345" i="12"/>
  <c r="C346" i="12"/>
  <c r="C347" i="12"/>
  <c r="C348" i="12"/>
  <c r="A348" i="11" s="1"/>
  <c r="C349" i="12"/>
  <c r="A349" i="11" s="1"/>
  <c r="C350" i="12"/>
  <c r="A350" i="11" s="1"/>
  <c r="C351" i="12"/>
  <c r="A351" i="11" s="1"/>
  <c r="C352" i="12"/>
  <c r="A352" i="11" s="1"/>
  <c r="C353" i="12"/>
  <c r="A353" i="11" s="1"/>
  <c r="C354" i="12"/>
  <c r="A354" i="11" s="1"/>
  <c r="C355" i="12"/>
  <c r="A355" i="11" s="1"/>
  <c r="C356" i="12"/>
  <c r="A356" i="11" s="1"/>
  <c r="C357" i="12"/>
  <c r="A357" i="11" s="1"/>
  <c r="A358" i="11"/>
  <c r="A359" i="11"/>
  <c r="C360" i="12"/>
  <c r="A360" i="11" s="1"/>
  <c r="C361" i="12"/>
  <c r="A361" i="11" s="1"/>
  <c r="C362" i="12"/>
  <c r="A362" i="11" s="1"/>
  <c r="C363" i="12"/>
  <c r="A363" i="11" s="1"/>
  <c r="C364" i="12"/>
  <c r="A364" i="11" s="1"/>
  <c r="C365" i="12"/>
  <c r="A365" i="11" s="1"/>
  <c r="C366" i="12"/>
  <c r="A366" i="11" s="1"/>
  <c r="C367" i="12"/>
  <c r="A367" i="11" s="1"/>
  <c r="C368" i="12"/>
  <c r="A368" i="11" s="1"/>
  <c r="C369" i="12"/>
  <c r="A369" i="11" s="1"/>
  <c r="C370" i="12"/>
  <c r="A370" i="11" s="1"/>
  <c r="C371" i="12"/>
  <c r="A371" i="11" s="1"/>
  <c r="C372" i="12"/>
  <c r="A372" i="11" s="1"/>
  <c r="C373" i="12"/>
  <c r="A373" i="11" s="1"/>
  <c r="C374" i="12"/>
  <c r="A374" i="11" s="1"/>
  <c r="C375" i="12"/>
  <c r="A375" i="11" s="1"/>
  <c r="C376" i="12"/>
  <c r="A376" i="11" s="1"/>
  <c r="C377" i="12"/>
  <c r="A377" i="11" s="1"/>
  <c r="C378" i="12"/>
  <c r="A378" i="11" s="1"/>
  <c r="C379" i="12"/>
  <c r="A379" i="11" s="1"/>
  <c r="C380" i="12"/>
  <c r="A380" i="11" s="1"/>
  <c r="C381" i="12"/>
  <c r="A381" i="11" s="1"/>
  <c r="C382" i="12"/>
  <c r="A382" i="11" s="1"/>
  <c r="C383" i="12"/>
  <c r="A383" i="11" s="1"/>
  <c r="C384" i="12"/>
  <c r="A384" i="11" s="1"/>
  <c r="C385" i="12"/>
  <c r="A385" i="11" s="1"/>
  <c r="C386" i="12"/>
  <c r="A386" i="11" s="1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C325" i="11"/>
  <c r="C326" i="11"/>
  <c r="C327" i="11"/>
  <c r="C328" i="11"/>
  <c r="A329" i="11"/>
  <c r="C329" i="11"/>
  <c r="C330" i="11"/>
  <c r="C331" i="11"/>
  <c r="C332" i="11"/>
  <c r="C333" i="11"/>
  <c r="C334" i="11"/>
  <c r="C335" i="11"/>
  <c r="C336" i="11"/>
  <c r="C337" i="11"/>
  <c r="C338" i="11"/>
  <c r="C339" i="11"/>
  <c r="AR83" i="4" l="1"/>
  <c r="AR84" i="4"/>
  <c r="AP7" i="4"/>
  <c r="AQ7" i="4"/>
  <c r="AR7" i="4"/>
  <c r="AS7" i="4"/>
  <c r="AP8" i="4"/>
  <c r="AQ8" i="4"/>
  <c r="AR8" i="4"/>
  <c r="AS8" i="4"/>
  <c r="AP9" i="4"/>
  <c r="AQ9" i="4"/>
  <c r="AR9" i="4"/>
  <c r="AS9" i="4"/>
  <c r="AP10" i="4"/>
  <c r="AQ10" i="4"/>
  <c r="AR10" i="4"/>
  <c r="AS10" i="4"/>
  <c r="AP11" i="4"/>
  <c r="AQ11" i="4"/>
  <c r="AR11" i="4"/>
  <c r="AS11" i="4"/>
  <c r="AP12" i="4"/>
  <c r="AQ12" i="4"/>
  <c r="AR12" i="4"/>
  <c r="AS12" i="4"/>
  <c r="AP13" i="4"/>
  <c r="AQ13" i="4"/>
  <c r="AR13" i="4"/>
  <c r="AS13" i="4"/>
  <c r="AP14" i="4"/>
  <c r="AQ14" i="4"/>
  <c r="AR14" i="4"/>
  <c r="AS14" i="4"/>
  <c r="AP15" i="4"/>
  <c r="AQ15" i="4"/>
  <c r="AR15" i="4"/>
  <c r="AS15" i="4"/>
  <c r="AP16" i="4"/>
  <c r="AQ16" i="4"/>
  <c r="AR16" i="4"/>
  <c r="AS16" i="4"/>
  <c r="AP17" i="4"/>
  <c r="AQ17" i="4"/>
  <c r="AR17" i="4"/>
  <c r="AS17" i="4"/>
  <c r="AP18" i="4"/>
  <c r="AQ18" i="4"/>
  <c r="AR18" i="4"/>
  <c r="AS18" i="4"/>
  <c r="AP19" i="4"/>
  <c r="AQ19" i="4"/>
  <c r="AR19" i="4"/>
  <c r="AS19" i="4"/>
  <c r="AP20" i="4"/>
  <c r="AQ20" i="4"/>
  <c r="AR20" i="4"/>
  <c r="AS20" i="4"/>
  <c r="AP21" i="4"/>
  <c r="AQ21" i="4"/>
  <c r="AR21" i="4"/>
  <c r="AS21" i="4"/>
  <c r="AP22" i="4"/>
  <c r="AQ22" i="4"/>
  <c r="AR22" i="4"/>
  <c r="AS22" i="4"/>
  <c r="AP23" i="4"/>
  <c r="AQ23" i="4"/>
  <c r="AR23" i="4"/>
  <c r="AS23" i="4"/>
  <c r="AP24" i="4"/>
  <c r="AQ24" i="4"/>
  <c r="AR24" i="4"/>
  <c r="AS24" i="4"/>
  <c r="AP25" i="4"/>
  <c r="AQ25" i="4"/>
  <c r="AR25" i="4"/>
  <c r="AS25" i="4"/>
  <c r="AP26" i="4"/>
  <c r="AQ26" i="4"/>
  <c r="AR26" i="4"/>
  <c r="AS26" i="4"/>
  <c r="AP27" i="4"/>
  <c r="AQ27" i="4"/>
  <c r="AR27" i="4"/>
  <c r="AS27" i="4"/>
  <c r="AP28" i="4"/>
  <c r="AQ28" i="4"/>
  <c r="AR28" i="4"/>
  <c r="AS28" i="4"/>
  <c r="AP29" i="4"/>
  <c r="AQ29" i="4"/>
  <c r="AR29" i="4"/>
  <c r="AS29" i="4"/>
  <c r="AP30" i="4"/>
  <c r="AQ30" i="4"/>
  <c r="AR30" i="4"/>
  <c r="AS30" i="4"/>
  <c r="AP31" i="4"/>
  <c r="AQ31" i="4"/>
  <c r="AR31" i="4"/>
  <c r="AS31" i="4"/>
  <c r="AP32" i="4"/>
  <c r="AQ32" i="4"/>
  <c r="AR32" i="4"/>
  <c r="AS32" i="4"/>
  <c r="AP33" i="4"/>
  <c r="AQ33" i="4"/>
  <c r="AR33" i="4"/>
  <c r="AS33" i="4"/>
  <c r="AP34" i="4"/>
  <c r="AQ34" i="4"/>
  <c r="AR34" i="4"/>
  <c r="AS34" i="4"/>
  <c r="AP35" i="4"/>
  <c r="AQ35" i="4"/>
  <c r="AR35" i="4"/>
  <c r="AS35" i="4"/>
  <c r="AP36" i="4"/>
  <c r="AQ36" i="4"/>
  <c r="AR36" i="4"/>
  <c r="AS36" i="4"/>
  <c r="AP37" i="4"/>
  <c r="AQ37" i="4"/>
  <c r="AR37" i="4"/>
  <c r="AS37" i="4"/>
  <c r="AP38" i="4"/>
  <c r="AQ38" i="4"/>
  <c r="AR38" i="4"/>
  <c r="AS38" i="4"/>
  <c r="AP39" i="4"/>
  <c r="AQ39" i="4"/>
  <c r="AR39" i="4"/>
  <c r="AS39" i="4"/>
  <c r="AP40" i="4"/>
  <c r="AQ40" i="4"/>
  <c r="AR40" i="4"/>
  <c r="AS40" i="4"/>
  <c r="AP41" i="4"/>
  <c r="AQ41" i="4"/>
  <c r="AR41" i="4"/>
  <c r="AS41" i="4"/>
  <c r="AP42" i="4"/>
  <c r="AQ42" i="4"/>
  <c r="AR42" i="4"/>
  <c r="AS42" i="4"/>
  <c r="AP43" i="4"/>
  <c r="AQ43" i="4"/>
  <c r="AR43" i="4"/>
  <c r="AS43" i="4"/>
  <c r="AP44" i="4"/>
  <c r="AQ44" i="4"/>
  <c r="AR44" i="4"/>
  <c r="AS44" i="4"/>
  <c r="AP45" i="4"/>
  <c r="AQ45" i="4"/>
  <c r="AR45" i="4"/>
  <c r="AS45" i="4"/>
  <c r="AP46" i="4"/>
  <c r="AQ46" i="4"/>
  <c r="AR46" i="4"/>
  <c r="AS46" i="4"/>
  <c r="AP47" i="4"/>
  <c r="AQ47" i="4"/>
  <c r="AR47" i="4"/>
  <c r="AS47" i="4"/>
  <c r="AP48" i="4"/>
  <c r="AQ48" i="4"/>
  <c r="AR48" i="4"/>
  <c r="AS48" i="4"/>
  <c r="AP49" i="4"/>
  <c r="AQ49" i="4"/>
  <c r="AR49" i="4"/>
  <c r="AS49" i="4"/>
  <c r="AP50" i="4"/>
  <c r="AQ50" i="4"/>
  <c r="AR50" i="4"/>
  <c r="AS50" i="4"/>
  <c r="AP51" i="4"/>
  <c r="AQ51" i="4"/>
  <c r="AR51" i="4"/>
  <c r="AS51" i="4"/>
  <c r="AP52" i="4"/>
  <c r="AQ52" i="4"/>
  <c r="AR52" i="4"/>
  <c r="AS52" i="4"/>
  <c r="AP53" i="4"/>
  <c r="AQ53" i="4"/>
  <c r="AR53" i="4"/>
  <c r="AS53" i="4"/>
  <c r="AP54" i="4"/>
  <c r="AQ54" i="4"/>
  <c r="AR54" i="4"/>
  <c r="AS54" i="4"/>
  <c r="AP55" i="4"/>
  <c r="AQ55" i="4"/>
  <c r="AR55" i="4"/>
  <c r="AS55" i="4"/>
  <c r="AP56" i="4"/>
  <c r="AQ56" i="4"/>
  <c r="AR56" i="4"/>
  <c r="AS56" i="4"/>
  <c r="AP57" i="4"/>
  <c r="AQ57" i="4"/>
  <c r="AR57" i="4"/>
  <c r="AS57" i="4"/>
  <c r="AP58" i="4"/>
  <c r="AQ58" i="4"/>
  <c r="AR58" i="4"/>
  <c r="AS58" i="4"/>
  <c r="AP59" i="4"/>
  <c r="AQ59" i="4"/>
  <c r="AR59" i="4"/>
  <c r="AS59" i="4"/>
  <c r="AP60" i="4"/>
  <c r="AQ60" i="4"/>
  <c r="AR60" i="4"/>
  <c r="AS60" i="4"/>
  <c r="AP61" i="4"/>
  <c r="AQ61" i="4"/>
  <c r="AR61" i="4"/>
  <c r="AS61" i="4"/>
  <c r="AP62" i="4"/>
  <c r="AQ62" i="4"/>
  <c r="AR62" i="4"/>
  <c r="AS62" i="4"/>
  <c r="AP63" i="4"/>
  <c r="AQ63" i="4"/>
  <c r="AR63" i="4"/>
  <c r="AS63" i="4"/>
  <c r="AP64" i="4"/>
  <c r="AQ64" i="4"/>
  <c r="AR64" i="4"/>
  <c r="AS64" i="4"/>
  <c r="AP65" i="4"/>
  <c r="AQ65" i="4"/>
  <c r="AR65" i="4"/>
  <c r="AS65" i="4"/>
  <c r="AP66" i="4"/>
  <c r="AQ66" i="4"/>
  <c r="AR66" i="4"/>
  <c r="AS66" i="4"/>
  <c r="AP67" i="4"/>
  <c r="AQ67" i="4"/>
  <c r="AR67" i="4"/>
  <c r="AS67" i="4"/>
  <c r="AP68" i="4"/>
  <c r="AQ68" i="4"/>
  <c r="AR68" i="4"/>
  <c r="AS68" i="4"/>
  <c r="AP69" i="4"/>
  <c r="AQ69" i="4"/>
  <c r="AR69" i="4"/>
  <c r="AS69" i="4"/>
  <c r="AP70" i="4"/>
  <c r="AQ70" i="4"/>
  <c r="AR70" i="4"/>
  <c r="AS70" i="4"/>
  <c r="AP71" i="4"/>
  <c r="AQ71" i="4"/>
  <c r="AR71" i="4"/>
  <c r="AS71" i="4"/>
  <c r="AP72" i="4"/>
  <c r="AQ72" i="4"/>
  <c r="AR72" i="4"/>
  <c r="AS72" i="4"/>
  <c r="AP73" i="4"/>
  <c r="AQ73" i="4"/>
  <c r="AR73" i="4"/>
  <c r="AS73" i="4"/>
  <c r="AP74" i="4"/>
  <c r="AQ74" i="4"/>
  <c r="AR74" i="4"/>
  <c r="AS74" i="4"/>
  <c r="AP75" i="4"/>
  <c r="AQ75" i="4"/>
  <c r="AR75" i="4"/>
  <c r="AS75" i="4"/>
  <c r="AP76" i="4"/>
  <c r="AQ76" i="4"/>
  <c r="AR76" i="4"/>
  <c r="AS76" i="4"/>
  <c r="AP77" i="4"/>
  <c r="AQ77" i="4"/>
  <c r="AR77" i="4"/>
  <c r="AS77" i="4"/>
  <c r="AP78" i="4"/>
  <c r="AQ78" i="4"/>
  <c r="AR78" i="4"/>
  <c r="AS78" i="4"/>
  <c r="AP79" i="4"/>
  <c r="AQ79" i="4"/>
  <c r="AR79" i="4"/>
  <c r="AS79" i="4"/>
  <c r="AP80" i="4"/>
  <c r="AQ80" i="4"/>
  <c r="AR80" i="4"/>
  <c r="AS80" i="4"/>
  <c r="AP81" i="4"/>
  <c r="AQ81" i="4"/>
  <c r="AR81" i="4"/>
  <c r="AS81" i="4"/>
  <c r="AP82" i="4"/>
  <c r="AQ82" i="4"/>
  <c r="AR82" i="4"/>
  <c r="AS82" i="4"/>
  <c r="AP83" i="4"/>
  <c r="AQ83" i="4"/>
  <c r="AS83" i="4"/>
  <c r="AP84" i="4"/>
  <c r="AQ84" i="4"/>
  <c r="AS84" i="4"/>
  <c r="AP85" i="4"/>
  <c r="AQ85" i="4"/>
  <c r="AR85" i="4"/>
  <c r="AS85" i="4"/>
  <c r="AP86" i="4"/>
  <c r="AQ86" i="4"/>
  <c r="AR86" i="4"/>
  <c r="AS86" i="4"/>
  <c r="AP87" i="4"/>
  <c r="AQ87" i="4"/>
  <c r="AR87" i="4"/>
  <c r="AS87" i="4"/>
  <c r="AR6" i="4"/>
  <c r="AS6" i="4"/>
  <c r="AQ6" i="4"/>
  <c r="AP6" i="4"/>
  <c r="C322" i="12" l="1"/>
  <c r="C323" i="12"/>
  <c r="C324" i="12"/>
  <c r="C325" i="12"/>
  <c r="A325" i="11" s="1"/>
  <c r="C326" i="12"/>
  <c r="A326" i="11" s="1"/>
  <c r="C327" i="12"/>
  <c r="A327" i="11" s="1"/>
  <c r="F322" i="12"/>
  <c r="F323" i="12"/>
  <c r="F324" i="12"/>
  <c r="F325" i="12"/>
  <c r="F326" i="12"/>
  <c r="F327" i="12"/>
  <c r="C316" i="12"/>
  <c r="C317" i="12"/>
  <c r="C318" i="12"/>
  <c r="C319" i="12"/>
  <c r="C320" i="12"/>
  <c r="C321" i="12"/>
  <c r="F316" i="12"/>
  <c r="F317" i="12"/>
  <c r="F318" i="12"/>
  <c r="F319" i="12"/>
  <c r="F320" i="12"/>
  <c r="F321" i="12"/>
  <c r="C310" i="12"/>
  <c r="C311" i="12"/>
  <c r="C312" i="12"/>
  <c r="C313" i="12"/>
  <c r="C314" i="12"/>
  <c r="C315" i="12"/>
  <c r="F310" i="12"/>
  <c r="F311" i="12"/>
  <c r="F312" i="12"/>
  <c r="F313" i="12"/>
  <c r="F314" i="12"/>
  <c r="F315" i="12"/>
  <c r="C266" i="11" l="1"/>
  <c r="V4" i="4"/>
  <c r="C248" i="12"/>
  <c r="C2" i="12"/>
  <c r="C3" i="12"/>
  <c r="C4" i="12"/>
  <c r="A4" i="11" s="1"/>
  <c r="C5" i="12"/>
  <c r="A5" i="11" s="1"/>
  <c r="C6" i="12"/>
  <c r="A6" i="11" s="1"/>
  <c r="C7" i="12"/>
  <c r="C8" i="12"/>
  <c r="C9" i="12"/>
  <c r="C10" i="12"/>
  <c r="C11" i="12"/>
  <c r="C12" i="12"/>
  <c r="A12" i="11" s="1"/>
  <c r="C13" i="12"/>
  <c r="A13" i="11" s="1"/>
  <c r="C14" i="12"/>
  <c r="A14" i="11" s="1"/>
  <c r="C15" i="12"/>
  <c r="C16" i="12"/>
  <c r="C17" i="12"/>
  <c r="C18" i="12"/>
  <c r="C19" i="12"/>
  <c r="C20" i="12"/>
  <c r="A20" i="11" s="1"/>
  <c r="C21" i="12"/>
  <c r="A21" i="11" s="1"/>
  <c r="C22" i="12"/>
  <c r="A22" i="11" s="1"/>
  <c r="C23" i="12"/>
  <c r="C24" i="12"/>
  <c r="C25" i="12"/>
  <c r="C26" i="12"/>
  <c r="C27" i="12"/>
  <c r="C28" i="12"/>
  <c r="A28" i="11" s="1"/>
  <c r="C29" i="12"/>
  <c r="A29" i="11" s="1"/>
  <c r="C30" i="12"/>
  <c r="A30" i="11" s="1"/>
  <c r="C31" i="12"/>
  <c r="C32" i="12"/>
  <c r="C33" i="12"/>
  <c r="C34" i="12"/>
  <c r="C35" i="12"/>
  <c r="C36" i="12"/>
  <c r="A36" i="11" s="1"/>
  <c r="C37" i="12"/>
  <c r="A37" i="11" s="1"/>
  <c r="C38" i="12"/>
  <c r="A38" i="11" s="1"/>
  <c r="C39" i="12"/>
  <c r="C40" i="12"/>
  <c r="C41" i="12"/>
  <c r="C42" i="12"/>
  <c r="C43" i="12"/>
  <c r="C44" i="12"/>
  <c r="A44" i="11" s="1"/>
  <c r="C45" i="12"/>
  <c r="A45" i="11" s="1"/>
  <c r="C46" i="12"/>
  <c r="A46" i="11" s="1"/>
  <c r="C47" i="12"/>
  <c r="C48" i="12"/>
  <c r="C49" i="12"/>
  <c r="C50" i="12"/>
  <c r="C51" i="12"/>
  <c r="C52" i="12"/>
  <c r="A52" i="11" s="1"/>
  <c r="C53" i="12"/>
  <c r="C54" i="12"/>
  <c r="C55" i="12"/>
  <c r="C56" i="12"/>
  <c r="C57" i="12"/>
  <c r="C58" i="12"/>
  <c r="C59" i="12"/>
  <c r="C60" i="12"/>
  <c r="A60" i="11" s="1"/>
  <c r="C61" i="12"/>
  <c r="A61" i="11" s="1"/>
  <c r="C62" i="12"/>
  <c r="A62" i="11" s="1"/>
  <c r="C63" i="12"/>
  <c r="C64" i="12"/>
  <c r="C65" i="12"/>
  <c r="C66" i="12"/>
  <c r="C67" i="12"/>
  <c r="C68" i="12"/>
  <c r="A68" i="11" s="1"/>
  <c r="C69" i="12"/>
  <c r="A69" i="11" s="1"/>
  <c r="C70" i="12"/>
  <c r="A70" i="11" s="1"/>
  <c r="C71" i="12"/>
  <c r="C72" i="12"/>
  <c r="C73" i="12"/>
  <c r="C74" i="12"/>
  <c r="C75" i="12"/>
  <c r="C76" i="12"/>
  <c r="A76" i="11" s="1"/>
  <c r="C77" i="12"/>
  <c r="A77" i="11" s="1"/>
  <c r="C78" i="12"/>
  <c r="A78" i="11" s="1"/>
  <c r="C79" i="12"/>
  <c r="C80" i="12"/>
  <c r="C81" i="12"/>
  <c r="C82" i="12"/>
  <c r="C83" i="12"/>
  <c r="C84" i="12"/>
  <c r="A84" i="11" s="1"/>
  <c r="C85" i="12"/>
  <c r="A85" i="11" s="1"/>
  <c r="C86" i="12"/>
  <c r="A86" i="11" s="1"/>
  <c r="C87" i="12"/>
  <c r="C88" i="12"/>
  <c r="C89" i="12"/>
  <c r="C90" i="12"/>
  <c r="C91" i="12"/>
  <c r="C92" i="12"/>
  <c r="A92" i="11" s="1"/>
  <c r="C93" i="12"/>
  <c r="A93" i="11" s="1"/>
  <c r="C94" i="12"/>
  <c r="A94" i="11" s="1"/>
  <c r="C95" i="12"/>
  <c r="C96" i="12"/>
  <c r="C97" i="12"/>
  <c r="C98" i="12"/>
  <c r="C99" i="12"/>
  <c r="C100" i="12"/>
  <c r="A100" i="11" s="1"/>
  <c r="C101" i="12"/>
  <c r="A101" i="11" s="1"/>
  <c r="C102" i="12"/>
  <c r="A102" i="11" s="1"/>
  <c r="C103" i="12"/>
  <c r="C104" i="12"/>
  <c r="C105" i="12"/>
  <c r="C106" i="12"/>
  <c r="C107" i="12"/>
  <c r="C108" i="12"/>
  <c r="A108" i="11" s="1"/>
  <c r="C109" i="12"/>
  <c r="A109" i="11" s="1"/>
  <c r="C110" i="12"/>
  <c r="A110" i="11" s="1"/>
  <c r="C111" i="12"/>
  <c r="C112" i="12"/>
  <c r="C113" i="12"/>
  <c r="C114" i="12"/>
  <c r="C115" i="12"/>
  <c r="C116" i="12"/>
  <c r="A116" i="11" s="1"/>
  <c r="C117" i="12"/>
  <c r="C118" i="12"/>
  <c r="A118" i="11" s="1"/>
  <c r="C119" i="12"/>
  <c r="C120" i="12"/>
  <c r="C121" i="12"/>
  <c r="C122" i="12"/>
  <c r="C123" i="12"/>
  <c r="C124" i="12"/>
  <c r="A124" i="11" s="1"/>
  <c r="C125" i="12"/>
  <c r="A125" i="11" s="1"/>
  <c r="C126" i="12"/>
  <c r="A126" i="11" s="1"/>
  <c r="C127" i="12"/>
  <c r="C128" i="12"/>
  <c r="C129" i="12"/>
  <c r="C130" i="12"/>
  <c r="C131" i="12"/>
  <c r="C132" i="12"/>
  <c r="A132" i="11" s="1"/>
  <c r="C133" i="12"/>
  <c r="A133" i="11" s="1"/>
  <c r="C134" i="12"/>
  <c r="A134" i="11" s="1"/>
  <c r="C135" i="12"/>
  <c r="C136" i="12"/>
  <c r="C137" i="12"/>
  <c r="C138" i="12"/>
  <c r="C139" i="12"/>
  <c r="C140" i="12"/>
  <c r="A140" i="11" s="1"/>
  <c r="C141" i="12"/>
  <c r="A141" i="11" s="1"/>
  <c r="C142" i="12"/>
  <c r="C143" i="12"/>
  <c r="C144" i="12"/>
  <c r="C145" i="12"/>
  <c r="C146" i="12"/>
  <c r="C147" i="12"/>
  <c r="C148" i="12"/>
  <c r="A148" i="11" s="1"/>
  <c r="C149" i="12"/>
  <c r="A149" i="11" s="1"/>
  <c r="C150" i="12"/>
  <c r="A150" i="11" s="1"/>
  <c r="C151" i="12"/>
  <c r="C152" i="12"/>
  <c r="C153" i="12"/>
  <c r="C154" i="12"/>
  <c r="C155" i="12"/>
  <c r="C156" i="12"/>
  <c r="A156" i="11" s="1"/>
  <c r="C157" i="12"/>
  <c r="A157" i="11" s="1"/>
  <c r="C158" i="12"/>
  <c r="A158" i="11" s="1"/>
  <c r="C159" i="12"/>
  <c r="C160" i="12"/>
  <c r="C161" i="12"/>
  <c r="C162" i="12"/>
  <c r="C163" i="12"/>
  <c r="C164" i="12"/>
  <c r="A164" i="11" s="1"/>
  <c r="C165" i="12"/>
  <c r="A165" i="11" s="1"/>
  <c r="C166" i="12"/>
  <c r="A166" i="11" s="1"/>
  <c r="C167" i="12"/>
  <c r="C168" i="12"/>
  <c r="C169" i="12"/>
  <c r="C170" i="12"/>
  <c r="C171" i="12"/>
  <c r="C172" i="12"/>
  <c r="A172" i="11" s="1"/>
  <c r="C173" i="12"/>
  <c r="A173" i="11" s="1"/>
  <c r="C174" i="12"/>
  <c r="A174" i="11" s="1"/>
  <c r="C175" i="12"/>
  <c r="C176" i="12"/>
  <c r="C177" i="12"/>
  <c r="C178" i="12"/>
  <c r="C179" i="12"/>
  <c r="C180" i="12"/>
  <c r="A180" i="11" s="1"/>
  <c r="C181" i="12"/>
  <c r="C182" i="12"/>
  <c r="A182" i="11" s="1"/>
  <c r="C183" i="12"/>
  <c r="C184" i="12"/>
  <c r="C185" i="12"/>
  <c r="C186" i="12"/>
  <c r="C187" i="12"/>
  <c r="C188" i="12"/>
  <c r="A188" i="11" s="1"/>
  <c r="C189" i="12"/>
  <c r="A189" i="11" s="1"/>
  <c r="C190" i="12"/>
  <c r="A190" i="11" s="1"/>
  <c r="C191" i="12"/>
  <c r="C192" i="12"/>
  <c r="C193" i="12"/>
  <c r="C194" i="12"/>
  <c r="C195" i="12"/>
  <c r="C196" i="12"/>
  <c r="A196" i="11" s="1"/>
  <c r="C197" i="12"/>
  <c r="A197" i="11" s="1"/>
  <c r="C198" i="12"/>
  <c r="A198" i="11" s="1"/>
  <c r="C199" i="12"/>
  <c r="C200" i="12"/>
  <c r="A200" i="11" s="1"/>
  <c r="C201" i="12"/>
  <c r="A201" i="11" s="1"/>
  <c r="C202" i="12"/>
  <c r="C203" i="12"/>
  <c r="A203" i="11" s="1"/>
  <c r="C204" i="12"/>
  <c r="A204" i="11" s="1"/>
  <c r="C205" i="12"/>
  <c r="A205" i="11" s="1"/>
  <c r="C206" i="12"/>
  <c r="A206" i="11" s="1"/>
  <c r="C207" i="12"/>
  <c r="C208" i="12"/>
  <c r="C209" i="12"/>
  <c r="C210" i="12"/>
  <c r="A210" i="11" s="1"/>
  <c r="C211" i="12"/>
  <c r="A211" i="11" s="1"/>
  <c r="C212" i="12"/>
  <c r="A212" i="11" s="1"/>
  <c r="C213" i="12"/>
  <c r="A213" i="11" s="1"/>
  <c r="C214" i="12"/>
  <c r="A214" i="11" s="1"/>
  <c r="C215" i="12"/>
  <c r="C216" i="12"/>
  <c r="C217" i="12"/>
  <c r="C218" i="12"/>
  <c r="C219" i="12"/>
  <c r="A219" i="11" s="1"/>
  <c r="C220" i="12"/>
  <c r="A220" i="11" s="1"/>
  <c r="C221" i="12"/>
  <c r="A221" i="11" s="1"/>
  <c r="C222" i="12"/>
  <c r="A222" i="11" s="1"/>
  <c r="C223" i="12"/>
  <c r="C224" i="12"/>
  <c r="C225" i="12"/>
  <c r="C226" i="12"/>
  <c r="A226" i="11" s="1"/>
  <c r="C227" i="12"/>
  <c r="A227" i="11" s="1"/>
  <c r="C228" i="12"/>
  <c r="A228" i="11" s="1"/>
  <c r="C229" i="12"/>
  <c r="A229" i="11" s="1"/>
  <c r="C230" i="12"/>
  <c r="A230" i="11" s="1"/>
  <c r="C231" i="12"/>
  <c r="C232" i="12"/>
  <c r="C233" i="12"/>
  <c r="C234" i="12"/>
  <c r="C235" i="12"/>
  <c r="A235" i="11" s="1"/>
  <c r="C236" i="12"/>
  <c r="A236" i="11" s="1"/>
  <c r="C237" i="12"/>
  <c r="A237" i="11" s="1"/>
  <c r="C238" i="12"/>
  <c r="A238" i="11" s="1"/>
  <c r="C239" i="12"/>
  <c r="C240" i="12"/>
  <c r="C241" i="12"/>
  <c r="C242" i="12"/>
  <c r="C243" i="12"/>
  <c r="A243" i="11" s="1"/>
  <c r="C244" i="12"/>
  <c r="A244" i="11" s="1"/>
  <c r="C245" i="12"/>
  <c r="A245" i="11" s="1"/>
  <c r="C246" i="12"/>
  <c r="A246" i="11" s="1"/>
  <c r="C247" i="12"/>
  <c r="C249" i="12"/>
  <c r="C250" i="12"/>
  <c r="C251" i="12"/>
  <c r="A251" i="11" s="1"/>
  <c r="C252" i="12"/>
  <c r="A252" i="11" s="1"/>
  <c r="C253" i="12"/>
  <c r="A253" i="11" s="1"/>
  <c r="C254" i="12"/>
  <c r="A254" i="11" s="1"/>
  <c r="C255" i="12"/>
  <c r="A255" i="11" s="1"/>
  <c r="C256" i="12"/>
  <c r="C257" i="12"/>
  <c r="C258" i="12"/>
  <c r="A258" i="11" s="1"/>
  <c r="C259" i="12"/>
  <c r="C260" i="12"/>
  <c r="A260" i="11" s="1"/>
  <c r="C261" i="12"/>
  <c r="A261" i="11" s="1"/>
  <c r="C262" i="12"/>
  <c r="A262" i="11" s="1"/>
  <c r="C263" i="12"/>
  <c r="A263" i="11" s="1"/>
  <c r="C264" i="12"/>
  <c r="C265" i="12"/>
  <c r="C266" i="12"/>
  <c r="C267" i="12"/>
  <c r="C268" i="12"/>
  <c r="A268" i="11" s="1"/>
  <c r="C269" i="12"/>
  <c r="A269" i="11" s="1"/>
  <c r="C270" i="12"/>
  <c r="A270" i="11" s="1"/>
  <c r="C271" i="12"/>
  <c r="A271" i="11" s="1"/>
  <c r="C272" i="12"/>
  <c r="C273" i="12"/>
  <c r="C274" i="12"/>
  <c r="A274" i="11" s="1"/>
  <c r="C275" i="12"/>
  <c r="A275" i="11" s="1"/>
  <c r="C276" i="12"/>
  <c r="A276" i="11" s="1"/>
  <c r="C277" i="12"/>
  <c r="A277" i="11" s="1"/>
  <c r="C278" i="12"/>
  <c r="A278" i="11" s="1"/>
  <c r="C279" i="12"/>
  <c r="A279" i="11" s="1"/>
  <c r="C280" i="12"/>
  <c r="C281" i="12"/>
  <c r="C282" i="12"/>
  <c r="C283" i="12"/>
  <c r="C284" i="12"/>
  <c r="A284" i="11" s="1"/>
  <c r="C285" i="12"/>
  <c r="A285" i="11" s="1"/>
  <c r="C286" i="12"/>
  <c r="A286" i="11" s="1"/>
  <c r="C287" i="12"/>
  <c r="A287" i="11" s="1"/>
  <c r="C288" i="12"/>
  <c r="A288" i="11" s="1"/>
  <c r="C289" i="12"/>
  <c r="C290" i="12"/>
  <c r="C291" i="12"/>
  <c r="A291" i="11" s="1"/>
  <c r="C292" i="12"/>
  <c r="A292" i="11" s="1"/>
  <c r="C293" i="12"/>
  <c r="A293" i="11" s="1"/>
  <c r="C294" i="12"/>
  <c r="A294" i="11" s="1"/>
  <c r="C295" i="12"/>
  <c r="A295" i="11" s="1"/>
  <c r="C296" i="12"/>
  <c r="C297" i="12"/>
  <c r="C298" i="12"/>
  <c r="A298" i="11" s="1"/>
  <c r="C299" i="12"/>
  <c r="A299" i="11" s="1"/>
  <c r="C300" i="12"/>
  <c r="A300" i="11" s="1"/>
  <c r="C301" i="12"/>
  <c r="A301" i="11" s="1"/>
  <c r="C302" i="12"/>
  <c r="A302" i="11" s="1"/>
  <c r="C303" i="12"/>
  <c r="A303" i="11" s="1"/>
  <c r="C304" i="12"/>
  <c r="A304" i="11" s="1"/>
  <c r="C305" i="12"/>
  <c r="C306" i="12"/>
  <c r="C307" i="12"/>
  <c r="A307" i="11" s="1"/>
  <c r="C308" i="12"/>
  <c r="A308" i="11" s="1"/>
  <c r="C309" i="12"/>
  <c r="A309" i="11" s="1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246" i="12"/>
  <c r="F247" i="12"/>
  <c r="F248" i="12"/>
  <c r="F249" i="12"/>
  <c r="F250" i="12"/>
  <c r="F251" i="12"/>
  <c r="F252" i="12"/>
  <c r="F253" i="12"/>
  <c r="F254" i="12"/>
  <c r="F255" i="12"/>
  <c r="F256" i="12"/>
  <c r="Y84" i="4"/>
  <c r="Y28" i="4"/>
  <c r="F245" i="12"/>
  <c r="AI2" i="4"/>
  <c r="AE3" i="4"/>
  <c r="Y7" i="4"/>
  <c r="Y8" i="4"/>
  <c r="Y9" i="4"/>
  <c r="Y6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2" i="4"/>
  <c r="Y83" i="4"/>
  <c r="Y85" i="4"/>
  <c r="Y86" i="4"/>
  <c r="Y87" i="4"/>
  <c r="C12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40" i="11"/>
  <c r="C341" i="11"/>
  <c r="C342" i="11"/>
  <c r="C343" i="11"/>
  <c r="C344" i="11"/>
  <c r="C345" i="11"/>
  <c r="C346" i="11"/>
  <c r="C347" i="11"/>
  <c r="A247" i="11"/>
  <c r="A248" i="11"/>
  <c r="A249" i="11"/>
  <c r="A250" i="11"/>
  <c r="A256" i="11"/>
  <c r="A257" i="11"/>
  <c r="A259" i="11"/>
  <c r="A264" i="11"/>
  <c r="A265" i="11"/>
  <c r="A266" i="11"/>
  <c r="A267" i="11"/>
  <c r="A272" i="11"/>
  <c r="A273" i="11"/>
  <c r="A280" i="11"/>
  <c r="A281" i="11"/>
  <c r="A282" i="11"/>
  <c r="A283" i="11"/>
  <c r="A289" i="11"/>
  <c r="A290" i="11"/>
  <c r="A296" i="11"/>
  <c r="A297" i="11"/>
  <c r="A305" i="11"/>
  <c r="A306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40" i="11"/>
  <c r="A341" i="11"/>
  <c r="A342" i="11"/>
  <c r="A343" i="11"/>
  <c r="A344" i="11"/>
  <c r="A345" i="11"/>
  <c r="A346" i="11"/>
  <c r="A347" i="11"/>
  <c r="C236" i="11"/>
  <c r="C235" i="11"/>
  <c r="C234" i="11"/>
  <c r="C233" i="11"/>
  <c r="C232" i="11"/>
  <c r="A232" i="11"/>
  <c r="C231" i="11"/>
  <c r="A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1" i="11"/>
  <c r="C10" i="11"/>
  <c r="C9" i="11"/>
  <c r="C8" i="11"/>
  <c r="A8" i="11"/>
  <c r="C7" i="11"/>
  <c r="C6" i="11"/>
  <c r="C5" i="11"/>
  <c r="C4" i="11"/>
  <c r="C3" i="11"/>
  <c r="C2" i="11"/>
  <c r="F244" i="12"/>
  <c r="F243" i="12"/>
  <c r="F242" i="12"/>
  <c r="A242" i="11"/>
  <c r="F241" i="12"/>
  <c r="A241" i="11"/>
  <c r="F240" i="12"/>
  <c r="A240" i="11"/>
  <c r="F239" i="12"/>
  <c r="A239" i="11"/>
  <c r="F238" i="12"/>
  <c r="F237" i="12"/>
  <c r="F236" i="12"/>
  <c r="F235" i="12"/>
  <c r="F234" i="12"/>
  <c r="A234" i="11"/>
  <c r="F233" i="12"/>
  <c r="A233" i="11"/>
  <c r="F232" i="12"/>
  <c r="F231" i="12"/>
  <c r="F230" i="12"/>
  <c r="F229" i="12"/>
  <c r="F228" i="12"/>
  <c r="F227" i="12"/>
  <c r="F226" i="12"/>
  <c r="F225" i="12"/>
  <c r="A225" i="11"/>
  <c r="F224" i="12"/>
  <c r="A224" i="11"/>
  <c r="F223" i="12"/>
  <c r="A223" i="11"/>
  <c r="F222" i="12"/>
  <c r="F221" i="12"/>
  <c r="F220" i="12"/>
  <c r="F219" i="12"/>
  <c r="F218" i="12"/>
  <c r="A218" i="11"/>
  <c r="F217" i="12"/>
  <c r="A217" i="11"/>
  <c r="F216" i="12"/>
  <c r="A216" i="11"/>
  <c r="F215" i="12"/>
  <c r="A215" i="11"/>
  <c r="F214" i="12"/>
  <c r="F213" i="12"/>
  <c r="F212" i="12"/>
  <c r="F211" i="12"/>
  <c r="F210" i="12"/>
  <c r="F209" i="12"/>
  <c r="A209" i="11"/>
  <c r="F208" i="12"/>
  <c r="A208" i="11"/>
  <c r="F207" i="12"/>
  <c r="A207" i="11"/>
  <c r="F206" i="12"/>
  <c r="F205" i="12"/>
  <c r="F204" i="12"/>
  <c r="F203" i="12"/>
  <c r="F202" i="12"/>
  <c r="A202" i="11"/>
  <c r="F201" i="12"/>
  <c r="F200" i="12"/>
  <c r="F199" i="12"/>
  <c r="A199" i="11"/>
  <c r="F198" i="12"/>
  <c r="F197" i="12"/>
  <c r="F196" i="12"/>
  <c r="F195" i="12"/>
  <c r="A195" i="11"/>
  <c r="F194" i="12"/>
  <c r="A194" i="11"/>
  <c r="F193" i="12"/>
  <c r="A193" i="11"/>
  <c r="F192" i="12"/>
  <c r="A192" i="11"/>
  <c r="F191" i="12"/>
  <c r="A191" i="11"/>
  <c r="F190" i="12"/>
  <c r="F189" i="12"/>
  <c r="F188" i="12"/>
  <c r="F187" i="12"/>
  <c r="A187" i="11"/>
  <c r="F186" i="12"/>
  <c r="A186" i="11"/>
  <c r="F185" i="12"/>
  <c r="A185" i="11"/>
  <c r="F184" i="12"/>
  <c r="A184" i="11"/>
  <c r="F183" i="12"/>
  <c r="A183" i="11"/>
  <c r="F182" i="12"/>
  <c r="F181" i="12"/>
  <c r="A181" i="11"/>
  <c r="F180" i="12"/>
  <c r="F179" i="12"/>
  <c r="A179" i="11"/>
  <c r="F178" i="12"/>
  <c r="A178" i="11"/>
  <c r="F177" i="12"/>
  <c r="A177" i="11"/>
  <c r="F176" i="12"/>
  <c r="A176" i="11"/>
  <c r="F175" i="12"/>
  <c r="A175" i="11"/>
  <c r="F174" i="12"/>
  <c r="F173" i="12"/>
  <c r="F172" i="12"/>
  <c r="F171" i="12"/>
  <c r="A171" i="11"/>
  <c r="F170" i="12"/>
  <c r="A170" i="11"/>
  <c r="F169" i="12"/>
  <c r="A169" i="11"/>
  <c r="F168" i="12"/>
  <c r="A168" i="11"/>
  <c r="F167" i="12"/>
  <c r="A167" i="11"/>
  <c r="F166" i="12"/>
  <c r="F165" i="12"/>
  <c r="F164" i="12"/>
  <c r="F163" i="12"/>
  <c r="A163" i="11"/>
  <c r="F162" i="12"/>
  <c r="A162" i="11"/>
  <c r="F161" i="12"/>
  <c r="A161" i="11"/>
  <c r="F160" i="12"/>
  <c r="A160" i="11"/>
  <c r="F159" i="12"/>
  <c r="A159" i="11"/>
  <c r="F158" i="12"/>
  <c r="F157" i="12"/>
  <c r="F156" i="12"/>
  <c r="F155" i="12"/>
  <c r="A155" i="11"/>
  <c r="F154" i="12"/>
  <c r="A154" i="11"/>
  <c r="F153" i="12"/>
  <c r="A153" i="11"/>
  <c r="F152" i="12"/>
  <c r="A152" i="11"/>
  <c r="F151" i="12"/>
  <c r="A151" i="11"/>
  <c r="F150" i="12"/>
  <c r="F149" i="12"/>
  <c r="F148" i="12"/>
  <c r="F147" i="12"/>
  <c r="A147" i="11"/>
  <c r="F146" i="12"/>
  <c r="A146" i="11"/>
  <c r="F145" i="12"/>
  <c r="A145" i="11"/>
  <c r="F144" i="12"/>
  <c r="A144" i="11"/>
  <c r="F143" i="12"/>
  <c r="A143" i="11"/>
  <c r="F142" i="12"/>
  <c r="A142" i="11"/>
  <c r="F141" i="12"/>
  <c r="F140" i="12"/>
  <c r="F139" i="12"/>
  <c r="A139" i="11"/>
  <c r="F138" i="12"/>
  <c r="A138" i="11"/>
  <c r="F137" i="12"/>
  <c r="A137" i="11"/>
  <c r="F136" i="12"/>
  <c r="A136" i="11"/>
  <c r="F135" i="12"/>
  <c r="A135" i="11"/>
  <c r="F134" i="12"/>
  <c r="F133" i="12"/>
  <c r="F132" i="12"/>
  <c r="F131" i="12"/>
  <c r="A131" i="11"/>
  <c r="F130" i="12"/>
  <c r="A130" i="11"/>
  <c r="F129" i="12"/>
  <c r="A129" i="11"/>
  <c r="F128" i="12"/>
  <c r="A128" i="11"/>
  <c r="F127" i="12"/>
  <c r="A127" i="11"/>
  <c r="F126" i="12"/>
  <c r="F125" i="12"/>
  <c r="F124" i="12"/>
  <c r="F123" i="12"/>
  <c r="A123" i="11"/>
  <c r="F122" i="12"/>
  <c r="A122" i="11"/>
  <c r="F121" i="12"/>
  <c r="A121" i="11"/>
  <c r="F120" i="12"/>
  <c r="A120" i="11"/>
  <c r="F119" i="12"/>
  <c r="A119" i="11"/>
  <c r="F118" i="12"/>
  <c r="F117" i="12"/>
  <c r="A117" i="11"/>
  <c r="F116" i="12"/>
  <c r="F115" i="12"/>
  <c r="A115" i="11"/>
  <c r="F114" i="12"/>
  <c r="A114" i="11"/>
  <c r="F113" i="12"/>
  <c r="A113" i="11"/>
  <c r="F112" i="12"/>
  <c r="A112" i="11"/>
  <c r="F111" i="12"/>
  <c r="A111" i="11"/>
  <c r="F110" i="12"/>
  <c r="F109" i="12"/>
  <c r="F108" i="12"/>
  <c r="F107" i="12"/>
  <c r="A107" i="11"/>
  <c r="F106" i="12"/>
  <c r="A106" i="11"/>
  <c r="F105" i="12"/>
  <c r="A105" i="11"/>
  <c r="F104" i="12"/>
  <c r="A104" i="11"/>
  <c r="F103" i="12"/>
  <c r="A103" i="11"/>
  <c r="F102" i="12"/>
  <c r="F101" i="12"/>
  <c r="F100" i="12"/>
  <c r="F99" i="12"/>
  <c r="A99" i="11"/>
  <c r="F98" i="12"/>
  <c r="A98" i="11"/>
  <c r="F97" i="12"/>
  <c r="A97" i="11"/>
  <c r="F96" i="12"/>
  <c r="A96" i="11"/>
  <c r="F95" i="12"/>
  <c r="A95" i="11"/>
  <c r="F94" i="12"/>
  <c r="F93" i="12"/>
  <c r="F92" i="12"/>
  <c r="F91" i="12"/>
  <c r="A91" i="11"/>
  <c r="F90" i="12"/>
  <c r="A90" i="11"/>
  <c r="F89" i="12"/>
  <c r="A89" i="11"/>
  <c r="F88" i="12"/>
  <c r="A88" i="11"/>
  <c r="F87" i="12"/>
  <c r="A87" i="11"/>
  <c r="F86" i="12"/>
  <c r="F85" i="12"/>
  <c r="F84" i="12"/>
  <c r="F83" i="12"/>
  <c r="A83" i="11"/>
  <c r="F82" i="12"/>
  <c r="A82" i="11"/>
  <c r="F81" i="12"/>
  <c r="A81" i="11"/>
  <c r="F80" i="12"/>
  <c r="A80" i="11"/>
  <c r="F79" i="12"/>
  <c r="A79" i="11"/>
  <c r="F78" i="12"/>
  <c r="F77" i="12"/>
  <c r="F76" i="12"/>
  <c r="F75" i="12"/>
  <c r="A75" i="11"/>
  <c r="F74" i="12"/>
  <c r="A74" i="11"/>
  <c r="F73" i="12"/>
  <c r="A73" i="11"/>
  <c r="F72" i="12"/>
  <c r="A72" i="11"/>
  <c r="F71" i="12"/>
  <c r="A71" i="11"/>
  <c r="F70" i="12"/>
  <c r="F69" i="12"/>
  <c r="F68" i="12"/>
  <c r="F67" i="12"/>
  <c r="A67" i="11"/>
  <c r="F66" i="12"/>
  <c r="A66" i="11"/>
  <c r="F65" i="12"/>
  <c r="A65" i="11"/>
  <c r="F64" i="12"/>
  <c r="A64" i="11"/>
  <c r="F63" i="12"/>
  <c r="A63" i="11"/>
  <c r="F62" i="12"/>
  <c r="F61" i="12"/>
  <c r="F60" i="12"/>
  <c r="F59" i="12"/>
  <c r="A59" i="11"/>
  <c r="F58" i="12"/>
  <c r="A58" i="11"/>
  <c r="F57" i="12"/>
  <c r="A57" i="11"/>
  <c r="F56" i="12"/>
  <c r="A56" i="11"/>
  <c r="F55" i="12"/>
  <c r="A55" i="11"/>
  <c r="F54" i="12"/>
  <c r="A54" i="11"/>
  <c r="F53" i="12"/>
  <c r="A53" i="11"/>
  <c r="F52" i="12"/>
  <c r="F51" i="12"/>
  <c r="A51" i="11"/>
  <c r="F50" i="12"/>
  <c r="A50" i="11"/>
  <c r="F49" i="12"/>
  <c r="A49" i="11"/>
  <c r="F48" i="12"/>
  <c r="A48" i="11"/>
  <c r="F47" i="12"/>
  <c r="A47" i="11"/>
  <c r="F46" i="12"/>
  <c r="F45" i="12"/>
  <c r="F44" i="12"/>
  <c r="F43" i="12"/>
  <c r="A43" i="11"/>
  <c r="F42" i="12"/>
  <c r="A42" i="11"/>
  <c r="F41" i="12"/>
  <c r="A41" i="11"/>
  <c r="F40" i="12"/>
  <c r="A40" i="11"/>
  <c r="F39" i="12"/>
  <c r="A39" i="11"/>
  <c r="F38" i="12"/>
  <c r="F37" i="12"/>
  <c r="F36" i="12"/>
  <c r="F35" i="12"/>
  <c r="A35" i="11"/>
  <c r="F34" i="12"/>
  <c r="A34" i="11"/>
  <c r="F33" i="12"/>
  <c r="A33" i="11"/>
  <c r="F32" i="12"/>
  <c r="A32" i="11"/>
  <c r="F31" i="12"/>
  <c r="A31" i="11"/>
  <c r="F30" i="12"/>
  <c r="F29" i="12"/>
  <c r="F28" i="12"/>
  <c r="F27" i="12"/>
  <c r="A27" i="11"/>
  <c r="F26" i="12"/>
  <c r="A26" i="11"/>
  <c r="F25" i="12"/>
  <c r="A25" i="11"/>
  <c r="F24" i="12"/>
  <c r="A24" i="11"/>
  <c r="F23" i="12"/>
  <c r="A23" i="11"/>
  <c r="F22" i="12"/>
  <c r="F21" i="12"/>
  <c r="F20" i="12"/>
  <c r="F19" i="12"/>
  <c r="A19" i="11"/>
  <c r="F18" i="12"/>
  <c r="A18" i="11"/>
  <c r="F17" i="12"/>
  <c r="A17" i="11"/>
  <c r="F16" i="12"/>
  <c r="A16" i="11"/>
  <c r="F15" i="12"/>
  <c r="A15" i="11"/>
  <c r="F14" i="12"/>
  <c r="F13" i="12"/>
  <c r="F12" i="12"/>
  <c r="F11" i="12"/>
  <c r="A11" i="11"/>
  <c r="F10" i="12"/>
  <c r="A10" i="11"/>
  <c r="F9" i="12"/>
  <c r="A9" i="11"/>
  <c r="F8" i="12"/>
  <c r="F7" i="12"/>
  <c r="A7" i="11"/>
  <c r="F6" i="12"/>
  <c r="F5" i="12"/>
  <c r="F4" i="12"/>
  <c r="F3" i="12"/>
  <c r="A3" i="11"/>
  <c r="F2" i="12"/>
  <c r="A2" i="11"/>
  <c r="AC86" i="4" l="1"/>
  <c r="AC87" i="4"/>
  <c r="AC77" i="4"/>
  <c r="AC69" i="4"/>
  <c r="AC61" i="4"/>
  <c r="AC53" i="4"/>
  <c r="AC45" i="4"/>
  <c r="AC37" i="4"/>
  <c r="AC29" i="4"/>
  <c r="AC20" i="4"/>
  <c r="AJ20" i="4"/>
  <c r="AC12" i="4"/>
  <c r="AJ12" i="4"/>
  <c r="AC84" i="4"/>
  <c r="AC52" i="4"/>
  <c r="AC44" i="4"/>
  <c r="AC36" i="4"/>
  <c r="AC27" i="4"/>
  <c r="AJ27" i="4"/>
  <c r="AC19" i="4"/>
  <c r="AJ19" i="4"/>
  <c r="AC11" i="4"/>
  <c r="AJ11" i="4"/>
  <c r="AC68" i="4"/>
  <c r="AC75" i="4"/>
  <c r="AC59" i="4"/>
  <c r="AC51" i="4"/>
  <c r="AC10" i="4"/>
  <c r="AJ10" i="4"/>
  <c r="AC26" i="4"/>
  <c r="AJ26" i="4"/>
  <c r="AC83" i="4"/>
  <c r="AC74" i="4"/>
  <c r="AC66" i="4"/>
  <c r="AC58" i="4"/>
  <c r="AC50" i="4"/>
  <c r="AC42" i="4"/>
  <c r="AC34" i="4"/>
  <c r="AJ25" i="4"/>
  <c r="AC25" i="4"/>
  <c r="AC17" i="4"/>
  <c r="AJ17" i="4"/>
  <c r="AJ6" i="4"/>
  <c r="AC6" i="4"/>
  <c r="AC76" i="4"/>
  <c r="AC85" i="4"/>
  <c r="AC43" i="4"/>
  <c r="AC82" i="4"/>
  <c r="AC73" i="4"/>
  <c r="AC65" i="4"/>
  <c r="AC57" i="4"/>
  <c r="AC49" i="4"/>
  <c r="AC41" i="4"/>
  <c r="AC33" i="4"/>
  <c r="AC24" i="4"/>
  <c r="AJ24" i="4"/>
  <c r="AC16" i="4"/>
  <c r="AJ16" i="4"/>
  <c r="AC9" i="4"/>
  <c r="AJ9" i="4"/>
  <c r="AC18" i="4"/>
  <c r="AJ18" i="4"/>
  <c r="AC80" i="4"/>
  <c r="AC72" i="4"/>
  <c r="AC64" i="4"/>
  <c r="AC56" i="4"/>
  <c r="AC48" i="4"/>
  <c r="AC40" i="4"/>
  <c r="AC32" i="4"/>
  <c r="AC23" i="4"/>
  <c r="AJ23" i="4"/>
  <c r="AC15" i="4"/>
  <c r="AJ15" i="4"/>
  <c r="AC8" i="4"/>
  <c r="AJ8" i="4"/>
  <c r="AC35" i="4"/>
  <c r="AC79" i="4"/>
  <c r="AC71" i="4"/>
  <c r="AC63" i="4"/>
  <c r="AC55" i="4"/>
  <c r="AC47" i="4"/>
  <c r="AC39" i="4"/>
  <c r="AC31" i="4"/>
  <c r="AJ22" i="4"/>
  <c r="AC22" i="4"/>
  <c r="AC14" i="4"/>
  <c r="AJ14" i="4"/>
  <c r="AC7" i="4"/>
  <c r="AJ7" i="4"/>
  <c r="AC60" i="4"/>
  <c r="AC67" i="4"/>
  <c r="AC78" i="4"/>
  <c r="AC70" i="4"/>
  <c r="AC62" i="4"/>
  <c r="AC54" i="4"/>
  <c r="AC46" i="4"/>
  <c r="AC38" i="4"/>
  <c r="AC30" i="4"/>
  <c r="AC21" i="4"/>
  <c r="AJ21" i="4"/>
  <c r="AC13" i="4"/>
  <c r="AJ13" i="4"/>
  <c r="AC28" i="4"/>
  <c r="AD25" i="4" l="1"/>
  <c r="AE25" i="4" s="1"/>
  <c r="AG25" i="4"/>
  <c r="AH25" i="4" s="1"/>
  <c r="AD84" i="4"/>
  <c r="AE84" i="4" s="1"/>
  <c r="AG84" i="4"/>
  <c r="AH84" i="4" s="1"/>
  <c r="AD13" i="4"/>
  <c r="AE13" i="4" s="1"/>
  <c r="AG13" i="4"/>
  <c r="AH13" i="4" s="1"/>
  <c r="AD46" i="4"/>
  <c r="AE46" i="4" s="1"/>
  <c r="AG46" i="4"/>
  <c r="AH46" i="4" s="1"/>
  <c r="AD78" i="4"/>
  <c r="AE78" i="4" s="1"/>
  <c r="AG78" i="4"/>
  <c r="AH78" i="4" s="1"/>
  <c r="AL22" i="4"/>
  <c r="AK22" i="4"/>
  <c r="AD35" i="4"/>
  <c r="AE35" i="4" s="1"/>
  <c r="AG35" i="4"/>
  <c r="AH35" i="4" s="1"/>
  <c r="AD8" i="4"/>
  <c r="AE8" i="4" s="1"/>
  <c r="AG8" i="4"/>
  <c r="AH8" i="4" s="1"/>
  <c r="AD40" i="4"/>
  <c r="AE40" i="4" s="1"/>
  <c r="AG40" i="4"/>
  <c r="AH40" i="4" s="1"/>
  <c r="AD72" i="4"/>
  <c r="AE72" i="4" s="1"/>
  <c r="AG72" i="4"/>
  <c r="AH72" i="4" s="1"/>
  <c r="AD9" i="4"/>
  <c r="AE9" i="4" s="1"/>
  <c r="AG9" i="4"/>
  <c r="AH9" i="4" s="1"/>
  <c r="AD41" i="4"/>
  <c r="AE41" i="4" s="1"/>
  <c r="AG41" i="4"/>
  <c r="AH41" i="4" s="1"/>
  <c r="AG73" i="4"/>
  <c r="AH73" i="4" s="1"/>
  <c r="AD73" i="4"/>
  <c r="AE73" i="4" s="1"/>
  <c r="AK25" i="4"/>
  <c r="AL25" i="4"/>
  <c r="AD58" i="4"/>
  <c r="AE58" i="4" s="1"/>
  <c r="AG58" i="4"/>
  <c r="AH58" i="4" s="1"/>
  <c r="AD59" i="4"/>
  <c r="AE59" i="4" s="1"/>
  <c r="AG59" i="4"/>
  <c r="AH59" i="4" s="1"/>
  <c r="AD68" i="4"/>
  <c r="AE68" i="4" s="1"/>
  <c r="AG68" i="4"/>
  <c r="AH68" i="4" s="1"/>
  <c r="AD36" i="4"/>
  <c r="AE36" i="4" s="1"/>
  <c r="AG36" i="4"/>
  <c r="AH36" i="4" s="1"/>
  <c r="AG37" i="4"/>
  <c r="AH37" i="4" s="1"/>
  <c r="AD37" i="4"/>
  <c r="AE37" i="4" s="1"/>
  <c r="AD69" i="4"/>
  <c r="AE69" i="4" s="1"/>
  <c r="AG69" i="4"/>
  <c r="AH69" i="4" s="1"/>
  <c r="AD22" i="4"/>
  <c r="AE22" i="4" s="1"/>
  <c r="AG22" i="4"/>
  <c r="AH22" i="4" s="1"/>
  <c r="AL9" i="4"/>
  <c r="AK9" i="4"/>
  <c r="AL21" i="4"/>
  <c r="AK21" i="4"/>
  <c r="AD21" i="4"/>
  <c r="AE21" i="4" s="1"/>
  <c r="AG21" i="4"/>
  <c r="AH21" i="4" s="1"/>
  <c r="AD54" i="4"/>
  <c r="AE54" i="4" s="1"/>
  <c r="AG54" i="4"/>
  <c r="AH54" i="4" s="1"/>
  <c r="AD67" i="4"/>
  <c r="AE67" i="4" s="1"/>
  <c r="AG67" i="4"/>
  <c r="AH67" i="4" s="1"/>
  <c r="AD63" i="4"/>
  <c r="AE63" i="4" s="1"/>
  <c r="AG63" i="4"/>
  <c r="AH63" i="4" s="1"/>
  <c r="AD15" i="4"/>
  <c r="AE15" i="4" s="1"/>
  <c r="AG15" i="4"/>
  <c r="AH15" i="4" s="1"/>
  <c r="AD80" i="4"/>
  <c r="AE80" i="4" s="1"/>
  <c r="AG80" i="4"/>
  <c r="AH80" i="4" s="1"/>
  <c r="AD16" i="4"/>
  <c r="AE16" i="4" s="1"/>
  <c r="AG16" i="4"/>
  <c r="AH16" i="4" s="1"/>
  <c r="AD49" i="4"/>
  <c r="AE49" i="4" s="1"/>
  <c r="AG49" i="4"/>
  <c r="AH49" i="4" s="1"/>
  <c r="AG82" i="4"/>
  <c r="AH82" i="4" s="1"/>
  <c r="AD82" i="4"/>
  <c r="AE82" i="4" s="1"/>
  <c r="AD76" i="4"/>
  <c r="AE76" i="4" s="1"/>
  <c r="AG76" i="4"/>
  <c r="AH76" i="4" s="1"/>
  <c r="AD34" i="4"/>
  <c r="AE34" i="4" s="1"/>
  <c r="AG34" i="4"/>
  <c r="AH34" i="4" s="1"/>
  <c r="AD66" i="4"/>
  <c r="AE66" i="4" s="1"/>
  <c r="AG66" i="4"/>
  <c r="AH66" i="4" s="1"/>
  <c r="AD11" i="4"/>
  <c r="AE11" i="4" s="1"/>
  <c r="AG11" i="4"/>
  <c r="AH11" i="4" s="1"/>
  <c r="AD44" i="4"/>
  <c r="AE44" i="4" s="1"/>
  <c r="AG44" i="4"/>
  <c r="AH44" i="4" s="1"/>
  <c r="AD12" i="4"/>
  <c r="AE12" i="4" s="1"/>
  <c r="AG12" i="4"/>
  <c r="AH12" i="4" s="1"/>
  <c r="AD45" i="4"/>
  <c r="AE45" i="4" s="1"/>
  <c r="AG45" i="4"/>
  <c r="AH45" i="4" s="1"/>
  <c r="AG77" i="4"/>
  <c r="AH77" i="4" s="1"/>
  <c r="AD77" i="4"/>
  <c r="AE77" i="4" s="1"/>
  <c r="AL8" i="4"/>
  <c r="AK8" i="4"/>
  <c r="AL16" i="4"/>
  <c r="AK16" i="4"/>
  <c r="AD62" i="4"/>
  <c r="AE62" i="4" s="1"/>
  <c r="AG62" i="4"/>
  <c r="AH62" i="4" s="1"/>
  <c r="AL7" i="4"/>
  <c r="AK7" i="4"/>
  <c r="AG71" i="4"/>
  <c r="AH71" i="4" s="1"/>
  <c r="AD71" i="4"/>
  <c r="AE71" i="4" s="1"/>
  <c r="AL23" i="4"/>
  <c r="AK23" i="4"/>
  <c r="AL18" i="4"/>
  <c r="AK18" i="4"/>
  <c r="AL24" i="4"/>
  <c r="AK24" i="4"/>
  <c r="AD57" i="4"/>
  <c r="AE57" i="4" s="1"/>
  <c r="AG57" i="4"/>
  <c r="AH57" i="4" s="1"/>
  <c r="AG6" i="4"/>
  <c r="AH6" i="4" s="1"/>
  <c r="AD6" i="4"/>
  <c r="AE6" i="4" s="1"/>
  <c r="AL10" i="4"/>
  <c r="AK10" i="4"/>
  <c r="AL19" i="4"/>
  <c r="AK19" i="4"/>
  <c r="AL20" i="4"/>
  <c r="AK20" i="4"/>
  <c r="AG87" i="4"/>
  <c r="AH87" i="4" s="1"/>
  <c r="AD87" i="4"/>
  <c r="AE87" i="4" s="1"/>
  <c r="AG48" i="4"/>
  <c r="AH48" i="4" s="1"/>
  <c r="AD48" i="4"/>
  <c r="AE48" i="4" s="1"/>
  <c r="AD75" i="4"/>
  <c r="AE75" i="4" s="1"/>
  <c r="AG75" i="4"/>
  <c r="AH75" i="4" s="1"/>
  <c r="AD30" i="4"/>
  <c r="AE30" i="4" s="1"/>
  <c r="AG30" i="4"/>
  <c r="AH30" i="4" s="1"/>
  <c r="AD60" i="4"/>
  <c r="AE60" i="4" s="1"/>
  <c r="AG60" i="4"/>
  <c r="AH60" i="4" s="1"/>
  <c r="AD7" i="4"/>
  <c r="AE7" i="4" s="1"/>
  <c r="AG7" i="4"/>
  <c r="AH7" i="4" s="1"/>
  <c r="AD39" i="4"/>
  <c r="AE39" i="4" s="1"/>
  <c r="AG39" i="4"/>
  <c r="AH39" i="4" s="1"/>
  <c r="AD23" i="4"/>
  <c r="AE23" i="4" s="1"/>
  <c r="AG23" i="4"/>
  <c r="AH23" i="4" s="1"/>
  <c r="AD56" i="4"/>
  <c r="AE56" i="4" s="1"/>
  <c r="AG56" i="4"/>
  <c r="AH56" i="4" s="1"/>
  <c r="AD18" i="4"/>
  <c r="AE18" i="4" s="1"/>
  <c r="AG18" i="4"/>
  <c r="AH18" i="4" s="1"/>
  <c r="AD24" i="4"/>
  <c r="AE24" i="4" s="1"/>
  <c r="AG24" i="4"/>
  <c r="AH24" i="4" s="1"/>
  <c r="AD43" i="4"/>
  <c r="AE43" i="4" s="1"/>
  <c r="AG43" i="4"/>
  <c r="AH43" i="4" s="1"/>
  <c r="AK6" i="4"/>
  <c r="AL6" i="4"/>
  <c r="AD42" i="4"/>
  <c r="AE42" i="4" s="1"/>
  <c r="AG42" i="4"/>
  <c r="AH42" i="4" s="1"/>
  <c r="AD74" i="4"/>
  <c r="AE74" i="4" s="1"/>
  <c r="AG74" i="4"/>
  <c r="AH74" i="4" s="1"/>
  <c r="AD10" i="4"/>
  <c r="AE10" i="4" s="1"/>
  <c r="AG10" i="4"/>
  <c r="AH10" i="4" s="1"/>
  <c r="AG19" i="4"/>
  <c r="AH19" i="4" s="1"/>
  <c r="AD19" i="4"/>
  <c r="AE19" i="4" s="1"/>
  <c r="AD52" i="4"/>
  <c r="AE52" i="4" s="1"/>
  <c r="AG52" i="4"/>
  <c r="AH52" i="4" s="1"/>
  <c r="AG20" i="4"/>
  <c r="AH20" i="4" s="1"/>
  <c r="AD20" i="4"/>
  <c r="AE20" i="4" s="1"/>
  <c r="AD53" i="4"/>
  <c r="AE53" i="4" s="1"/>
  <c r="AG53" i="4"/>
  <c r="AH53" i="4" s="1"/>
  <c r="AL11" i="4"/>
  <c r="AK11" i="4"/>
  <c r="AD38" i="4"/>
  <c r="AE38" i="4" s="1"/>
  <c r="AG38" i="4"/>
  <c r="AH38" i="4" s="1"/>
  <c r="AL14" i="4"/>
  <c r="AK14" i="4"/>
  <c r="AD64" i="4"/>
  <c r="AE64" i="4" s="1"/>
  <c r="AG64" i="4"/>
  <c r="AH64" i="4" s="1"/>
  <c r="AK17" i="4"/>
  <c r="AL17" i="4"/>
  <c r="AL26" i="4"/>
  <c r="AK26" i="4"/>
  <c r="AL27" i="4"/>
  <c r="AK27" i="4"/>
  <c r="AL13" i="4"/>
  <c r="AK13" i="4"/>
  <c r="AD55" i="4"/>
  <c r="AE55" i="4" s="1"/>
  <c r="AG55" i="4"/>
  <c r="AH55" i="4" s="1"/>
  <c r="AD31" i="4"/>
  <c r="AE31" i="4" s="1"/>
  <c r="AG31" i="4"/>
  <c r="AH31" i="4" s="1"/>
  <c r="AL15" i="4"/>
  <c r="AK15" i="4"/>
  <c r="AL12" i="4"/>
  <c r="AK12" i="4"/>
  <c r="AD28" i="4"/>
  <c r="AE28" i="4" s="1"/>
  <c r="AG28" i="4"/>
  <c r="AH28" i="4" s="1"/>
  <c r="AD70" i="4"/>
  <c r="AE70" i="4" s="1"/>
  <c r="AG70" i="4"/>
  <c r="AH70" i="4" s="1"/>
  <c r="AD14" i="4"/>
  <c r="AE14" i="4" s="1"/>
  <c r="AG14" i="4"/>
  <c r="AH14" i="4" s="1"/>
  <c r="AD47" i="4"/>
  <c r="AE47" i="4" s="1"/>
  <c r="AG47" i="4"/>
  <c r="AH47" i="4" s="1"/>
  <c r="AD79" i="4"/>
  <c r="AE79" i="4" s="1"/>
  <c r="AG79" i="4"/>
  <c r="AH79" i="4" s="1"/>
  <c r="AD32" i="4"/>
  <c r="AE32" i="4" s="1"/>
  <c r="AG32" i="4"/>
  <c r="AH32" i="4" s="1"/>
  <c r="AG33" i="4"/>
  <c r="AH33" i="4" s="1"/>
  <c r="AD33" i="4"/>
  <c r="AE33" i="4" s="1"/>
  <c r="AD65" i="4"/>
  <c r="AE65" i="4" s="1"/>
  <c r="AG65" i="4"/>
  <c r="AH65" i="4" s="1"/>
  <c r="AG85" i="4"/>
  <c r="AH85" i="4" s="1"/>
  <c r="AD85" i="4"/>
  <c r="AE85" i="4" s="1"/>
  <c r="AD17" i="4"/>
  <c r="AE17" i="4" s="1"/>
  <c r="AG17" i="4"/>
  <c r="AH17" i="4" s="1"/>
  <c r="AD50" i="4"/>
  <c r="AE50" i="4" s="1"/>
  <c r="AG50" i="4"/>
  <c r="AH50" i="4" s="1"/>
  <c r="AD83" i="4"/>
  <c r="AE83" i="4" s="1"/>
  <c r="AG83" i="4"/>
  <c r="AH83" i="4" s="1"/>
  <c r="AD26" i="4"/>
  <c r="AE26" i="4" s="1"/>
  <c r="AG26" i="4"/>
  <c r="AH26" i="4" s="1"/>
  <c r="AG51" i="4"/>
  <c r="AH51" i="4" s="1"/>
  <c r="AD51" i="4"/>
  <c r="AE51" i="4" s="1"/>
  <c r="AD27" i="4"/>
  <c r="AE27" i="4" s="1"/>
  <c r="AG27" i="4"/>
  <c r="AH27" i="4" s="1"/>
  <c r="AD29" i="4"/>
  <c r="AE29" i="4" s="1"/>
  <c r="AG29" i="4"/>
  <c r="AH29" i="4" s="1"/>
  <c r="AD61" i="4"/>
  <c r="AE61" i="4" s="1"/>
  <c r="AG61" i="4"/>
  <c r="AH61" i="4" s="1"/>
  <c r="AD86" i="4"/>
  <c r="AE86" i="4" s="1"/>
  <c r="AG86" i="4"/>
  <c r="AH86" i="4" s="1"/>
  <c r="AH4" i="4"/>
  <c r="AE4" i="4"/>
</calcChain>
</file>

<file path=xl/sharedStrings.xml><?xml version="1.0" encoding="utf-8"?>
<sst xmlns="http://schemas.openxmlformats.org/spreadsheetml/2006/main" count="1443" uniqueCount="582">
  <si>
    <t>ChlR</t>
  </si>
  <si>
    <t>Sequence</t>
  </si>
  <si>
    <t>Length</t>
  </si>
  <si>
    <t>Type</t>
  </si>
  <si>
    <t>Notes</t>
  </si>
  <si>
    <t>Description</t>
  </si>
  <si>
    <t>Name</t>
  </si>
  <si>
    <t>AW38/39</t>
  </si>
  <si>
    <t>redo</t>
  </si>
  <si>
    <t>predig vector</t>
  </si>
  <si>
    <t>pSPB###</t>
  </si>
  <si>
    <t>Example</t>
  </si>
  <si>
    <t>Golden Gate Rxns</t>
  </si>
  <si>
    <t xml:space="preserve"> Restriction Digest
and/or Genotyping PCR</t>
  </si>
  <si>
    <t>Test Digest / Test PCRs</t>
  </si>
  <si>
    <t>Miniprep</t>
  </si>
  <si>
    <t>Pick &amp; Culture Clones</t>
  </si>
  <si>
    <t>Transform</t>
  </si>
  <si>
    <t>Build Instructions</t>
  </si>
  <si>
    <t>Verification Instructions</t>
  </si>
  <si>
    <t>(8)</t>
  </si>
  <si>
    <t>(7)</t>
  </si>
  <si>
    <t>(6)</t>
  </si>
  <si>
    <t>(5)</t>
  </si>
  <si>
    <t>(4)</t>
  </si>
  <si>
    <t>(3)</t>
  </si>
  <si>
    <t>(2)</t>
  </si>
  <si>
    <t>(1)</t>
  </si>
  <si>
    <t>Experiment</t>
  </si>
  <si>
    <t>Complete</t>
  </si>
  <si>
    <t>In Progress</t>
  </si>
  <si>
    <t>Step Key:</t>
  </si>
  <si>
    <t>p15A</t>
  </si>
  <si>
    <t xml:space="preserve"> </t>
  </si>
  <si>
    <t/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</si>
  <si>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</si>
  <si>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</si>
  <si>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</si>
  <si>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</si>
  <si>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</si>
  <si>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</si>
  <si>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</si>
  <si>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</si>
  <si>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</si>
  <si>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</si>
  <si>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</si>
  <si>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</si>
  <si>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</si>
  <si>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</si>
  <si>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</si>
  <si>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</si>
  <si>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</si>
  <si>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</si>
  <si>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</si>
  <si>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</si>
  <si>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</si>
  <si>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</si>
  <si>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</si>
  <si>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</si>
  <si>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</si>
  <si>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</si>
  <si>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</si>
  <si>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</si>
  <si>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</si>
  <si>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</si>
  <si>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</si>
  <si>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</si>
  <si>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</si>
  <si>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</si>
  <si>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</si>
  <si>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</si>
  <si>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</si>
  <si>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</si>
  <si>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</si>
  <si>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</si>
  <si>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</si>
  <si>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</si>
  <si>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</si>
  <si>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</si>
  <si>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</si>
  <si>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</si>
  <si>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</si>
  <si>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</si>
  <si>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</si>
  <si>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</si>
  <si>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</si>
  <si>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</si>
  <si>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</si>
  <si>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</si>
  <si>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</si>
  <si>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</si>
  <si>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</si>
  <si>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</si>
  <si>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</si>
  <si>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</si>
  <si>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</si>
  <si>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</si>
  <si>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</si>
  <si>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</si>
  <si>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</si>
  <si>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</si>
  <si>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</si>
  <si>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</si>
  <si>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</si>
  <si>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</si>
  <si>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</si>
  <si>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</si>
  <si>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</si>
  <si>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</si>
  <si>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</si>
  <si>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</si>
  <si>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</si>
  <si>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</si>
  <si>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</si>
  <si>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</si>
  <si>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</si>
  <si>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ID</t>
  </si>
  <si>
    <t>PCRs, Oligo Assemblies, Digestions, Ligations</t>
  </si>
  <si>
    <t>4 clones</t>
  </si>
  <si>
    <t>clone B</t>
  </si>
  <si>
    <t>N/A</t>
  </si>
  <si>
    <t>PCRs /Anls /
Digests/gBlock</t>
  </si>
  <si>
    <t>34a</t>
  </si>
  <si>
    <t>(Re)design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</si>
  <si>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</si>
  <si>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</si>
  <si>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</si>
  <si>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</si>
  <si>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</si>
  <si>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</si>
  <si>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</si>
  <si>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</si>
  <si>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</si>
  <si>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</si>
  <si>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</si>
  <si>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</si>
  <si>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</si>
  <si>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</si>
  <si>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</si>
  <si>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</si>
  <si>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</si>
  <si>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</si>
  <si>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</si>
  <si>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</si>
  <si>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</si>
  <si>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</si>
  <si>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</si>
  <si>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</si>
  <si>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</si>
  <si>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</si>
  <si>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</si>
  <si>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</si>
  <si>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</si>
  <si>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</si>
  <si>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</si>
  <si>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</si>
  <si>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</si>
  <si>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</si>
  <si>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</si>
  <si>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</si>
  <si>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</si>
  <si>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</si>
  <si>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</si>
  <si>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</si>
  <si>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</si>
  <si>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</si>
  <si>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</si>
  <si>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</si>
  <si>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</si>
  <si>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</si>
  <si>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</si>
  <si>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</si>
  <si>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</si>
  <si>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</si>
  <si>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</si>
  <si>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</si>
  <si>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</si>
  <si>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</si>
  <si>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</si>
  <si>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</si>
  <si>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</si>
  <si>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</si>
  <si>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</si>
  <si>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</si>
  <si>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</si>
  <si>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</si>
  <si>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</si>
  <si>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</si>
  <si>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</si>
  <si>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</si>
  <si>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</si>
  <si>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</si>
  <si>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</si>
  <si>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</si>
  <si>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</si>
  <si>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</si>
  <si>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</si>
  <si>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</si>
  <si>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</si>
  <si>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</si>
  <si>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</si>
  <si>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</si>
  <si>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</si>
  <si>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</si>
  <si>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</si>
  <si>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DNA Assembly</t>
  </si>
  <si>
    <t>5' mod</t>
  </si>
  <si>
    <t>3' mod</t>
  </si>
  <si>
    <t>Scale</t>
  </si>
  <si>
    <t>Purification</t>
  </si>
  <si>
    <t>Format</t>
  </si>
  <si>
    <t>Concentration</t>
  </si>
  <si>
    <t>Number</t>
  </si>
  <si>
    <t>Dry</t>
  </si>
  <si>
    <t>DST</t>
  </si>
  <si>
    <t>(2) P1 Plac/ara-1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</si>
  <si>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</si>
  <si>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</si>
  <si>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</si>
  <si>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</si>
  <si>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</si>
  <si>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</si>
  <si>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</si>
  <si>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</si>
  <si>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</si>
  <si>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</si>
  <si>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</si>
  <si>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</si>
  <si>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</si>
  <si>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</si>
  <si>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</si>
  <si>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</si>
  <si>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</si>
  <si>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</si>
  <si>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</si>
  <si>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</si>
  <si>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</si>
  <si>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</si>
  <si>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</si>
  <si>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</si>
  <si>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</si>
  <si>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</si>
  <si>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</si>
  <si>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</si>
  <si>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</si>
  <si>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</si>
  <si>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</si>
  <si>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</si>
  <si>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</si>
  <si>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</si>
  <si>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</si>
  <si>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</si>
  <si>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</si>
  <si>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</si>
  <si>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</si>
  <si>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</si>
  <si>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</si>
  <si>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</si>
  <si>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</si>
  <si>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</si>
  <si>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</si>
  <si>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</si>
  <si>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</si>
  <si>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</si>
  <si>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</si>
  <si>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</si>
  <si>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</si>
  <si>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</si>
  <si>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</si>
  <si>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</si>
  <si>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</si>
  <si>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</si>
  <si>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</si>
  <si>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</si>
  <si>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</si>
  <si>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</si>
  <si>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</si>
  <si>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</si>
  <si>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</si>
  <si>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</si>
  <si>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</si>
  <si>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</si>
  <si>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</si>
  <si>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</si>
  <si>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</si>
  <si>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</si>
  <si>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</si>
  <si>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</si>
  <si>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</si>
  <si>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</si>
  <si>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</si>
  <si>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</si>
  <si>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</si>
  <si>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</si>
  <si>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</si>
  <si>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</si>
  <si>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</si>
  <si>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Verify &amp; Normalize</t>
  </si>
  <si>
    <t>Ori</t>
  </si>
  <si>
    <t>Dilution to:</t>
  </si>
  <si>
    <t>Dil. Factor</t>
  </si>
  <si>
    <t>≈[DNA], ±0.01 nM</t>
  </si>
  <si>
    <t>µL</t>
  </si>
  <si>
    <t>DNA Concentration Normalization</t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</si>
  <si>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2" tint="-0.499984740745262"/>
        <rFont val="Calibri"/>
        <family val="2"/>
        <scheme val="minor"/>
      </rPr>
      <t xml:space="preserve"> for:</t>
    </r>
  </si>
  <si>
    <r>
      <t>V</t>
    </r>
    <r>
      <rPr>
        <vertAlign val="subscript"/>
        <sz val="11"/>
        <color theme="1"/>
        <rFont val="Calibri"/>
        <family val="2"/>
        <scheme val="minor"/>
      </rPr>
      <t>seq rxn</t>
    </r>
    <r>
      <rPr>
        <sz val="11"/>
        <color theme="1"/>
        <rFont val="Calibri"/>
        <family val="2"/>
        <scheme val="minor"/>
      </rPr>
      <t>:</t>
    </r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</si>
  <si>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</si>
  <si>
    <r>
      <t>V</t>
    </r>
    <r>
      <rPr>
        <vertAlign val="subscript"/>
        <sz val="11"/>
        <color theme="1"/>
        <rFont val="Calibri"/>
        <family val="2"/>
        <scheme val="minor"/>
      </rPr>
      <t>diluent</t>
    </r>
  </si>
  <si>
    <r>
      <t>V</t>
    </r>
    <r>
      <rPr>
        <vertAlign val="subscript"/>
        <sz val="11"/>
        <color theme="1"/>
        <rFont val="Calibri"/>
        <family val="2"/>
        <scheme val="minor"/>
      </rPr>
      <t>H₂O</t>
    </r>
  </si>
  <si>
    <r>
      <t>V</t>
    </r>
    <r>
      <rPr>
        <vertAlign val="subscript"/>
        <sz val="11"/>
        <color theme="1"/>
        <rFont val="Calibri"/>
        <family val="2"/>
        <scheme val="minor"/>
      </rPr>
      <t>primer/rxn</t>
    </r>
    <r>
      <rPr>
        <sz val="11"/>
        <color theme="1"/>
        <rFont val="Calibri"/>
        <family val="2"/>
        <scheme val="minor"/>
      </rPr>
      <t>:</t>
    </r>
  </si>
  <si>
    <t>D01</t>
  </si>
  <si>
    <t>cacttttgttacccgccaaacaaaacccaaaaacaacccatacccaacccaataaaacaccaaaacaagacaaataatcattgattgatggttgaaatggggtaaacttgacaaacaaacccacttaaaacccaaaacatacccaaacacacaccaaaaaaacaccataaggagttttataaatgttggtattcattgatgacggttcaacaaacatcaaactacagtggcaggaaagcgacggaacaattaaacagcacattagcccgaacagcttcaaacgcgagtgggcagtctcttttggtgataaaaaggtctttaactacacactgaacggcgaacagtattcatttgatccaatcagcccggatgctgtagtcacaaccaatatcgcatggcaatacagcgacgttaatgtcgttgcagtgcatcacgccttactgaccagtggtctgccggtaagcgaagtggatattgtttgcacacttcctctgacagagtattacgacagaaataaccaacccaatacggaaaatattgagcgtaagaaagcaaacttccggaaaaaaattacattaaatggcggggatacattcacaataaaagatgtaaaagtcatgcctgaatctataccggcaggttatgaagttctacaagaactggatgagttagattctttattaattatagatctcgggggcaccacattagatatttctcaggtaatggggaaattatcggggatcagtaaaatatacggagactcatctcttggtgtctctctggttacatctgcagtaaaagatgccctttctcttgcgagaacaaaaggaagtagctatcttgctgacgatataatcattcacagaaaagataataactatctgaagcaacgaattaatgatgagaacaaaatatcaatagtcaccgaagcaatgaatgaagcacttcgtaaacttgagcaacgtgtattaaatacgctcaatgaattttctggttatactcatgttatggttataggcggtggcgcagaattaatatgcgatgcagtaaaaaaacacacacagattcgtgatgaacgttttttcaaaaccaataactctcaatatgatttagttaacggtatgtatctcataggtaattaatgatggacaagcgcagaaccattgccttcaaactaaatccagatgtaaatcaaacagataaaattgtttgtgatacactggacagtatcccgcaaggggaacgaagccgccttaaccgggccgcactgacggcaggtctggccttatacagacaagatccccggacccctttccttttatgtgagctgctgacgaaagaaaccacattttcagatatcgtgaatatattgagatcgctatttccaaaagagatggccgattttaattcttcaatagtcactcaatcctcttcacaacaagagcaaaaaagtgatgaagagaccaaaaaaaatgcgatgaagctaataaattaattcaattattattgagttccctttatccactatcaggctggataaagggaactcaatcaagttattttcttaccagtcattacataatcgttattatgaaataatcgtttgcactgtctctgttattcaggcaatttcaataaaggcacttgctcacgctctgtcattttctgaaactcttcatgctgcatttcgatttttcttctaaaatcataacttgcatacctgttctttttatgtatatccagatctatttttgtgacgagttcaaaccacaatgatagcactccccatgcagcgttatgaaacatttccgcaacagatttagagtctgtattaaccgcttcagtcatgtagtcgctaatacgttctgcagtgattttcgttatttcatcgtaattcattttatcccctacaagactatttaatggaatgaaaaatatttggtctgataacaatgctcctgaattaacacctgcaggctatgttaaagttgccctcacacacaatctacctgttttctcgtgtgtgtcacaggcgcaatacataaatagtctggcca</t>
  </si>
  <si>
    <r>
      <t>Ab</t>
    </r>
    <r>
      <rPr>
        <b/>
        <vertAlign val="superscript"/>
        <sz val="11"/>
        <color rgb="FF0070C0"/>
        <rFont val="Times New Roman"/>
        <family val="1"/>
      </rPr>
      <t>R</t>
    </r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</si>
  <si>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</si>
  <si>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</si>
  <si>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</si>
  <si>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</si>
  <si>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</si>
  <si>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</si>
  <si>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</si>
  <si>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</si>
  <si>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</si>
  <si>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</si>
  <si>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</si>
  <si>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</si>
  <si>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</si>
  <si>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</si>
  <si>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</si>
  <si>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</si>
  <si>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</si>
  <si>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</si>
  <si>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</si>
  <si>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</si>
  <si>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</si>
  <si>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</si>
  <si>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</si>
  <si>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</si>
  <si>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</si>
  <si>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</si>
  <si>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</si>
  <si>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</si>
  <si>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</si>
  <si>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</si>
  <si>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</si>
  <si>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</si>
  <si>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</si>
  <si>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</si>
  <si>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</si>
  <si>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</si>
  <si>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</si>
  <si>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</si>
  <si>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</si>
  <si>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</si>
  <si>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</si>
  <si>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</si>
  <si>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</si>
  <si>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</si>
  <si>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</si>
  <si>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</si>
  <si>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</si>
  <si>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</si>
  <si>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</si>
  <si>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</si>
  <si>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</si>
  <si>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</si>
  <si>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</si>
  <si>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</si>
  <si>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</si>
  <si>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</si>
  <si>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</si>
  <si>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</si>
  <si>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</si>
  <si>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</si>
  <si>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</si>
  <si>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</si>
  <si>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</si>
  <si>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</si>
  <si>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Filename</t>
  </si>
  <si>
    <t>Sequencing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</si>
  <si>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</si>
  <si>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</si>
  <si>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</si>
  <si>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</si>
  <si>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</si>
  <si>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</si>
  <si>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</si>
  <si>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</si>
  <si>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</si>
  <si>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</si>
  <si>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</si>
  <si>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</si>
  <si>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</si>
  <si>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</si>
  <si>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</si>
  <si>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</si>
  <si>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Full Description</t>
  </si>
  <si>
    <t>Printout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</si>
  <si>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</si>
  <si>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</si>
  <si>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</si>
  <si>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</si>
  <si>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</si>
  <si>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</si>
  <si>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</si>
  <si>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</si>
  <si>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</si>
  <si>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</si>
  <si>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</si>
  <si>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</si>
  <si>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</si>
  <si>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</si>
  <si>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</si>
  <si>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</si>
  <si>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</si>
  <si>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</si>
  <si>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</si>
  <si>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</si>
  <si>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</si>
  <si>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</si>
  <si>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</si>
  <si>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</si>
  <si>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</si>
  <si>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</si>
  <si>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</si>
  <si>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</si>
  <si>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</si>
  <si>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</si>
  <si>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</si>
  <si>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</si>
  <si>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</si>
  <si>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</si>
  <si>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</si>
  <si>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</si>
  <si>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</si>
  <si>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</si>
  <si>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</si>
  <si>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</si>
  <si>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</si>
  <si>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</si>
  <si>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</si>
  <si>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</si>
  <si>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</si>
  <si>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</si>
  <si>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</si>
  <si>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</si>
  <si>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</si>
  <si>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</si>
  <si>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</si>
  <si>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</si>
  <si>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</si>
  <si>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</si>
  <si>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</si>
  <si>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</si>
  <si>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</si>
  <si>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</si>
  <si>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</si>
  <si>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</si>
  <si>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</si>
  <si>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</si>
  <si>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</si>
  <si>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</si>
  <si>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</si>
  <si>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</si>
  <si>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</si>
  <si>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</si>
  <si>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</si>
  <si>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</si>
  <si>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</si>
  <si>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</si>
  <si>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</si>
  <si>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</si>
  <si>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</si>
  <si>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</si>
  <si>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</si>
  <si>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</si>
  <si>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</si>
  <si>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</si>
  <si>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</si>
  <si>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Linear DNAs</t>
  </si>
  <si>
    <t>Assemblies</t>
  </si>
  <si>
    <t>Sorting</t>
  </si>
  <si>
    <t>pIG001</t>
  </si>
  <si>
    <t>pIG002</t>
  </si>
  <si>
    <t>pIG003</t>
  </si>
  <si>
    <t>pIG004</t>
  </si>
  <si>
    <t>pIG005</t>
  </si>
  <si>
    <t>pIG006</t>
  </si>
  <si>
    <t>pIG007</t>
  </si>
  <si>
    <t>pIG008</t>
  </si>
  <si>
    <t>pIG009</t>
  </si>
  <si>
    <t>pIG010</t>
  </si>
  <si>
    <t>pIG011</t>
  </si>
  <si>
    <t>pIG012</t>
  </si>
  <si>
    <t>pIG013</t>
  </si>
  <si>
    <t>pIG014</t>
  </si>
  <si>
    <t>pIG015</t>
  </si>
  <si>
    <t>pIG016</t>
  </si>
  <si>
    <t>pIG017</t>
  </si>
  <si>
    <t>pIG018</t>
  </si>
  <si>
    <t>pIG019</t>
  </si>
  <si>
    <t>pIG020</t>
  </si>
  <si>
    <t>pIG021</t>
  </si>
  <si>
    <t>pIG022</t>
  </si>
  <si>
    <t>pIG023</t>
  </si>
  <si>
    <t>pIG024</t>
  </si>
  <si>
    <t>pIG025</t>
  </si>
  <si>
    <t>pIG026</t>
  </si>
  <si>
    <t>pIG027</t>
  </si>
  <si>
    <t>pIG028</t>
  </si>
  <si>
    <t>pIG029</t>
  </si>
  <si>
    <t>pIG030</t>
  </si>
  <si>
    <t>pIG031</t>
  </si>
  <si>
    <t>pIG032</t>
  </si>
  <si>
    <t>pIG033</t>
  </si>
  <si>
    <t>pIG034</t>
  </si>
  <si>
    <t>pIG035</t>
  </si>
  <si>
    <t>pIG036</t>
  </si>
  <si>
    <t>pIG037</t>
  </si>
  <si>
    <t>pIG038</t>
  </si>
  <si>
    <t>pIG039</t>
  </si>
  <si>
    <t>pIG040</t>
  </si>
  <si>
    <t>pIG041</t>
  </si>
  <si>
    <t>pIG042</t>
  </si>
  <si>
    <t>pIG043</t>
  </si>
  <si>
    <t>pIG044</t>
  </si>
  <si>
    <t>pIG045</t>
  </si>
  <si>
    <t>pIG046</t>
  </si>
  <si>
    <t>pIG047</t>
  </si>
  <si>
    <t>pIG048</t>
  </si>
  <si>
    <t>pIG049</t>
  </si>
  <si>
    <t>pIG050</t>
  </si>
  <si>
    <t>pIG051</t>
  </si>
  <si>
    <t>pIG052</t>
  </si>
  <si>
    <t>pIG053</t>
  </si>
  <si>
    <t>pIG054</t>
  </si>
  <si>
    <t>pIG055</t>
  </si>
  <si>
    <t>pIG056</t>
  </si>
  <si>
    <t>pIG057</t>
  </si>
  <si>
    <t>pIG058</t>
  </si>
  <si>
    <t>pIG059</t>
  </si>
  <si>
    <t>pIG060</t>
  </si>
  <si>
    <t>pIG061</t>
  </si>
  <si>
    <t>pIG062</t>
  </si>
  <si>
    <t>pIG063</t>
  </si>
  <si>
    <t>pIG064</t>
  </si>
  <si>
    <t>pIG065</t>
  </si>
  <si>
    <t>pIG066</t>
  </si>
  <si>
    <t>pIG067</t>
  </si>
  <si>
    <t>pIG068</t>
  </si>
  <si>
    <t>pIG069</t>
  </si>
  <si>
    <t>pIG070</t>
  </si>
  <si>
    <t>pIG071</t>
  </si>
  <si>
    <t>pIG072</t>
  </si>
  <si>
    <t>pIG073</t>
  </si>
  <si>
    <t>pIG074</t>
  </si>
  <si>
    <t>pIG075</t>
  </si>
  <si>
    <t>pIG076</t>
  </si>
  <si>
    <t>pIG077</t>
  </si>
  <si>
    <t>pIG078</t>
  </si>
  <si>
    <t>pIG079</t>
  </si>
  <si>
    <t>pIG080</t>
  </si>
  <si>
    <t>pIG081</t>
  </si>
  <si>
    <t>piG101</t>
  </si>
  <si>
    <t>[DNA]
(nM)</t>
  </si>
  <si>
    <r>
      <t xml:space="preserve">overrides </t>
    </r>
    <r>
      <rPr>
        <b/>
        <sz val="9"/>
        <color theme="1" tint="0.34998626667073579"/>
        <rFont val="Calibri Light"/>
        <family val="2"/>
        <scheme val="major"/>
      </rPr>
      <t>ρ</t>
    </r>
  </si>
  <si>
    <r>
      <t>ρ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1"/>
        <rFont val="Calibri"/>
        <family val="2"/>
        <scheme val="minor"/>
      </rPr>
      <t xml:space="preserve"> (ng/µL)</t>
    </r>
  </si>
  <si>
    <t>Genewiz DNA Sequencing</t>
  </si>
  <si>
    <t>Hs.SULT1A1 part (EXAMPLE)</t>
  </si>
  <si>
    <t>Name (generated)</t>
  </si>
  <si>
    <t>gcatCGTCTCaCTTCacgtctgtgtggaattgtg</t>
  </si>
  <si>
    <t>&lt; Don't edit. It auto-fills from the Oligos tab.</t>
  </si>
  <si>
    <r>
      <rPr>
        <i/>
        <sz val="11"/>
        <color theme="0" tint="-0.34998626667073579"/>
        <rFont val="Times New Roman"/>
        <family val="1"/>
      </rPr>
      <t>P</t>
    </r>
    <r>
      <rPr>
        <i/>
        <vertAlign val="subscript"/>
        <sz val="11"/>
        <color theme="0" tint="-0.34998626667073579"/>
        <rFont val="Times New Roman"/>
        <family val="1"/>
      </rPr>
      <t>T7</t>
    </r>
    <r>
      <rPr>
        <i/>
        <sz val="11"/>
        <color theme="0" tint="-0.34998626667073579"/>
        <rFont val="Times New Roman"/>
        <family val="1"/>
      </rPr>
      <t>-SULT1A1*1</t>
    </r>
    <r>
      <rPr>
        <sz val="11"/>
        <color theme="0" tint="-0.34998626667073579"/>
        <rFont val="Times New Roman"/>
        <family val="1"/>
      </rPr>
      <t xml:space="preserve"> hepatic PAPS-xenobiotic sulfotransferase (</t>
    </r>
    <r>
      <rPr>
        <i/>
        <sz val="11"/>
        <color theme="0" tint="-0.34998626667073579"/>
        <rFont val="Times New Roman"/>
        <family val="1"/>
      </rPr>
      <t>H. sapiens</t>
    </r>
    <r>
      <rPr>
        <sz val="11"/>
        <color theme="0" tint="-0.34998626667073579"/>
        <rFont val="Times New Roman"/>
        <family val="1"/>
      </rPr>
      <t>)</t>
    </r>
  </si>
  <si>
    <t>Failed/Stalled</t>
  </si>
  <si>
    <t>Incomplete</t>
  </si>
  <si>
    <t>red col, in TB</t>
  </si>
  <si>
    <t>DH10B +IPTG</t>
  </si>
  <si>
    <t>Waiting on…</t>
  </si>
  <si>
    <t>NotI-HF CS: 420,5250 bp</t>
  </si>
  <si>
    <t>pcrSPB###: ER22/23 on pSPB152, 520bp; 60° 10s.</t>
  </si>
  <si>
    <t>BsaI ChlR: pcrAMF351a, pcrAMF351b, pYTK001</t>
  </si>
  <si>
    <t>Length (bp)</t>
  </si>
  <si>
    <t>=digest(X6,"NotI") or BsaI, Esp3I, BbsI… [VBA]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</si>
</sst>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E+00"/>
    <numFmt numFmtId="165" formatCode="0.##"/>
    <numFmt numFmtId="166" formatCode="0.#"/>
  </numFmts>
  <fonts count="70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onsolas"/>
      <family val="3"/>
    </font>
    <font>
      <sz val="11"/>
      <color theme="1"/>
      <name val="Consolas"/>
      <family val="3"/>
    </font>
    <font>
      <sz val="11"/>
      <name val="Consolas"/>
      <family val="3"/>
    </font>
    <font>
      <sz val="11"/>
      <color theme="1"/>
      <name val="Times New Roman"/>
      <family val="1"/>
    </font>
    <font>
      <sz val="10"/>
      <name val="Calibri"/>
      <family val="2"/>
      <scheme val="minor"/>
    </font>
    <font>
      <i/>
      <sz val="10"/>
      <color rgb="FF000000"/>
      <name val="Arial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Times New Roman"/>
      <family val="1"/>
    </font>
    <font>
      <sz val="10"/>
      <color rgb="FF000000"/>
      <name val="Times New Roman"/>
      <family val="1"/>
    </font>
    <font>
      <sz val="10"/>
      <name val="Times New Roman"/>
      <family val="1"/>
    </font>
    <font>
      <b/>
      <sz val="10"/>
      <color rgb="FF0070C0"/>
      <name val="Calibri Light"/>
      <family val="2"/>
      <scheme val="major"/>
    </font>
    <font>
      <b/>
      <sz val="10"/>
      <color rgb="FF0070C0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1" tint="0.34998626667073579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i/>
      <sz val="10"/>
      <color rgb="FF0070C0"/>
      <name val="Calibri Light"/>
      <family val="2"/>
      <scheme val="major"/>
    </font>
    <font>
      <vertAlign val="subscript"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8"/>
      <color rgb="FF0070C0"/>
      <name val="Times New Roman"/>
      <family val="1"/>
    </font>
    <font>
      <sz val="10"/>
      <color theme="1"/>
      <name val="Calibri Light"/>
      <family val="2"/>
      <scheme val="maj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0"/>
      <name val="Times New Roman"/>
      <family val="1"/>
    </font>
    <font>
      <sz val="10"/>
      <color theme="1"/>
      <name val="Times New Roman"/>
      <family val="1"/>
    </font>
    <font>
      <sz val="10"/>
      <color theme="0" tint="-0.14999847407452621"/>
      <name val="Times New Roman"/>
      <family val="1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vertAlign val="superscript"/>
      <sz val="11"/>
      <color rgb="FF0070C0"/>
      <name val="Times New Roman"/>
      <family val="1"/>
    </font>
    <font>
      <b/>
      <sz val="9"/>
      <color rgb="FF0070C0"/>
      <name val="Times New Roman"/>
      <family val="1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9"/>
      <color theme="1" tint="0.34998626667073579"/>
      <name val="Calibri Light"/>
      <family val="2"/>
      <scheme val="major"/>
    </font>
    <font>
      <b/>
      <sz val="8"/>
      <color theme="1" tint="0.34998626667073579"/>
      <name val="Calibri Light"/>
      <family val="2"/>
      <scheme val="major"/>
    </font>
    <font>
      <b/>
      <sz val="12"/>
      <color rgb="FF0070C0"/>
      <name val="Calibri Light"/>
      <family val="2"/>
      <scheme val="maj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 tint="-0.34998626667073579"/>
      <name val="Times New Roman"/>
      <family val="1"/>
    </font>
    <font>
      <i/>
      <sz val="10"/>
      <color theme="0" tint="-0.34998626667073579"/>
      <name val="Times New Roman"/>
      <family val="1"/>
    </font>
    <font>
      <sz val="11"/>
      <color theme="0" tint="-0.34998626667073579"/>
      <name val="Times New Roman"/>
      <family val="1"/>
    </font>
    <font>
      <i/>
      <sz val="11"/>
      <color theme="0" tint="-0.34998626667073579"/>
      <name val="Times New Roman"/>
      <family val="1"/>
    </font>
    <font>
      <i/>
      <vertAlign val="subscript"/>
      <sz val="11"/>
      <color theme="0" tint="-0.34998626667073579"/>
      <name val="Times New Roman"/>
      <family val="1"/>
    </font>
    <font>
      <sz val="10"/>
      <color theme="0" tint="-0.34998626667073579"/>
      <name val="Calibri"/>
      <family val="2"/>
      <scheme val="minor"/>
    </font>
    <font>
      <sz val="10"/>
      <color theme="0" tint="-0.499984740745262"/>
      <name val="Times New Roman"/>
      <family val="1"/>
    </font>
    <font>
      <i/>
      <sz val="8"/>
      <color theme="6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2"/>
        <bgColor rgb="FFD9D9D9"/>
      </patternFill>
    </fill>
    <fill>
      <patternFill patternType="darkDown">
        <fgColor rgb="FFEFEFEF"/>
        <bgColor rgb="FF00B050"/>
      </patternFill>
    </fill>
    <fill>
      <patternFill patternType="solid">
        <fgColor rgb="FFFFFF66"/>
        <bgColor rgb="FFFFFF00"/>
      </patternFill>
    </fill>
    <fill>
      <patternFill patternType="solid">
        <fgColor theme="5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rgb="FFC00000"/>
      </patternFill>
    </fill>
    <fill>
      <patternFill patternType="solid">
        <fgColor theme="6"/>
        <bgColor auto="1"/>
      </patternFill>
    </fill>
    <fill>
      <patternFill patternType="solid">
        <fgColor rgb="FFC00000"/>
        <bgColor rgb="FF980000"/>
      </patternFill>
    </fill>
  </fills>
  <borders count="3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rgb="FF7F7F7F"/>
      </top>
      <bottom style="thin">
        <color rgb="FF3F3F3F"/>
      </bottom>
      <diagonal/>
    </border>
    <border>
      <left/>
      <right style="thin">
        <color theme="1" tint="0.34998626667073579"/>
      </right>
      <top/>
      <bottom style="thin">
        <color rgb="FF7F7F7F"/>
      </bottom>
      <diagonal/>
    </border>
    <border>
      <left style="thin">
        <color theme="1" tint="0.34998626667073579"/>
      </left>
      <right/>
      <top style="thin">
        <color rgb="FF3F3F3F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rgb="FF3F3F3F"/>
      </bottom>
      <diagonal/>
    </border>
    <border>
      <left style="thin">
        <color theme="1" tint="0.34998626667073579"/>
      </left>
      <right style="thin">
        <color rgb="FF7F7F7F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theme="1" tint="0.34998626667073579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ck">
        <color indexed="64"/>
      </left>
      <right style="thin">
        <color theme="1" tint="0.34998626667073579"/>
      </right>
      <top/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 applyFont="0"/>
    <xf numFmtId="0" fontId="14" fillId="6" borderId="1"/>
    <xf numFmtId="0" fontId="14" fillId="8" borderId="2"/>
    <xf numFmtId="0" fontId="14" fillId="5" borderId="5"/>
    <xf numFmtId="0" fontId="14" fillId="0" borderId="2"/>
    <xf numFmtId="0" fontId="14" fillId="19" borderId="5"/>
    <xf numFmtId="0" fontId="14" fillId="18" borderId="1"/>
    <xf numFmtId="0" fontId="14" fillId="7" borderId="1"/>
    <xf numFmtId="0" fontId="20" fillId="10" borderId="11" applyNumberFormat="0" applyAlignment="0" applyProtection="0"/>
    <xf numFmtId="0" fontId="21" fillId="11" borderId="12" applyNumberFormat="0" applyAlignment="0" applyProtection="0"/>
  </cellStyleXfs>
  <cellXfs count="214">
    <xf numFmtId="0" fontId="0" fillId="0" borderId="0" xfId="0"/>
    <xf numFmtId="0" fontId="0" fillId="0" borderId="0" xfId="0"/>
    <xf numFmtId="0" fontId="0" fillId="0" borderId="0" xfId="0" applyFont="1"/>
    <xf numFmtId="0" fontId="0" fillId="0" borderId="4" xfId="0" applyBorder="1" applyAlignment="1"/>
    <xf numFmtId="0" fontId="5" fillId="0" borderId="0" xfId="0" applyFont="1"/>
    <xf numFmtId="0" fontId="5" fillId="0" borderId="4" xfId="0" applyFont="1" applyBorder="1" applyAlignment="1"/>
    <xf numFmtId="0" fontId="5" fillId="0" borderId="0" xfId="0" applyFont="1" applyFill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1" fillId="9" borderId="6" xfId="0" applyFont="1" applyFill="1" applyBorder="1"/>
    <xf numFmtId="0" fontId="11" fillId="0" borderId="6" xfId="0" applyFont="1" applyBorder="1"/>
    <xf numFmtId="0" fontId="16" fillId="0" borderId="0" xfId="0" applyFont="1"/>
    <xf numFmtId="0" fontId="17" fillId="0" borderId="0" xfId="0" applyFont="1"/>
    <xf numFmtId="0" fontId="4" fillId="0" borderId="0" xfId="0" applyFont="1"/>
    <xf numFmtId="0" fontId="11" fillId="0" borderId="0" xfId="0" applyFont="1" applyAlignment="1">
      <alignment wrapText="1"/>
    </xf>
    <xf numFmtId="49" fontId="19" fillId="0" borderId="0" xfId="0" applyNumberFormat="1" applyFont="1" applyBorder="1" applyAlignment="1"/>
    <xf numFmtId="49" fontId="23" fillId="0" borderId="0" xfId="0" applyNumberFormat="1" applyFont="1" applyAlignment="1"/>
    <xf numFmtId="49" fontId="24" fillId="0" borderId="0" xfId="0" applyNumberFormat="1" applyFont="1" applyBorder="1" applyAlignment="1">
      <alignment horizontal="center" vertical="center"/>
    </xf>
    <xf numFmtId="49" fontId="24" fillId="0" borderId="0" xfId="0" applyNumberFormat="1" applyFont="1" applyAlignment="1"/>
    <xf numFmtId="49" fontId="24" fillId="0" borderId="0" xfId="0" applyNumberFormat="1" applyFont="1" applyAlignment="1">
      <alignment horizontal="center" vertical="center"/>
    </xf>
    <xf numFmtId="0" fontId="23" fillId="0" borderId="0" xfId="0" applyNumberFormat="1" applyFont="1" applyAlignment="1"/>
    <xf numFmtId="49" fontId="24" fillId="19" borderId="5" xfId="5" applyNumberFormat="1" applyFont="1" applyAlignment="1">
      <alignment horizontal="center"/>
    </xf>
    <xf numFmtId="49" fontId="24" fillId="6" borderId="1" xfId="1" applyNumberFormat="1" applyFont="1" applyAlignment="1">
      <alignment horizontal="center"/>
    </xf>
    <xf numFmtId="49" fontId="24" fillId="8" borderId="2" xfId="2" applyNumberFormat="1" applyFont="1" applyAlignment="1">
      <alignment horizontal="center"/>
    </xf>
    <xf numFmtId="49" fontId="24" fillId="5" borderId="5" xfId="3" applyNumberFormat="1" applyFont="1" applyAlignment="1">
      <alignment horizontal="center"/>
    </xf>
    <xf numFmtId="49" fontId="26" fillId="3" borderId="0" xfId="0" applyNumberFormat="1" applyFont="1" applyFill="1" applyAlignment="1">
      <alignment horizontal="center" vertical="center"/>
    </xf>
    <xf numFmtId="49" fontId="26" fillId="3" borderId="0" xfId="0" applyNumberFormat="1" applyFont="1" applyFill="1" applyBorder="1" applyAlignment="1">
      <alignment horizontal="center" vertical="center"/>
    </xf>
    <xf numFmtId="49" fontId="26" fillId="3" borderId="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29" fillId="0" borderId="14" xfId="0" applyFont="1" applyBorder="1"/>
    <xf numFmtId="0" fontId="25" fillId="0" borderId="0" xfId="0" applyFont="1" applyAlignment="1">
      <alignment horizontal="right"/>
    </xf>
    <xf numFmtId="164" fontId="33" fillId="10" borderId="11" xfId="8" applyNumberFormat="1" applyFont="1"/>
    <xf numFmtId="0" fontId="34" fillId="11" borderId="25" xfId="9" applyFont="1" applyBorder="1"/>
    <xf numFmtId="0" fontId="29" fillId="0" borderId="19" xfId="0" applyFont="1" applyBorder="1"/>
    <xf numFmtId="0" fontId="30" fillId="0" borderId="19" xfId="0" applyFont="1" applyBorder="1" applyAlignment="1">
      <alignment horizontal="right" vertical="center"/>
    </xf>
    <xf numFmtId="0" fontId="35" fillId="10" borderId="11" xfId="8" applyFont="1" applyAlignment="1">
      <alignment horizontal="left"/>
    </xf>
    <xf numFmtId="0" fontId="29" fillId="0" borderId="24" xfId="0" applyFont="1" applyBorder="1"/>
    <xf numFmtId="49" fontId="27" fillId="0" borderId="0" xfId="0" applyNumberFormat="1" applyFont="1" applyAlignment="1"/>
    <xf numFmtId="49" fontId="36" fillId="3" borderId="0" xfId="0" applyNumberFormat="1" applyFont="1" applyFill="1" applyAlignment="1">
      <alignment horizontal="center" vertical="center" wrapText="1"/>
    </xf>
    <xf numFmtId="49" fontId="36" fillId="3" borderId="0" xfId="0" applyNumberFormat="1" applyFont="1" applyFill="1" applyBorder="1" applyAlignment="1">
      <alignment horizontal="center" vertical="center" wrapText="1"/>
    </xf>
    <xf numFmtId="49" fontId="36" fillId="3" borderId="8" xfId="0" applyNumberFormat="1" applyFont="1" applyFill="1" applyBorder="1" applyAlignment="1">
      <alignment horizontal="center" vertical="center" wrapText="1"/>
    </xf>
    <xf numFmtId="49" fontId="26" fillId="13" borderId="0" xfId="0" applyNumberFormat="1" applyFont="1" applyFill="1" applyAlignment="1">
      <alignment horizontal="center" vertical="center"/>
    </xf>
    <xf numFmtId="49" fontId="26" fillId="13" borderId="0" xfId="0" applyNumberFormat="1" applyFont="1" applyFill="1" applyAlignment="1">
      <alignment horizontal="center" vertical="center" wrapText="1"/>
    </xf>
    <xf numFmtId="49" fontId="26" fillId="15" borderId="0" xfId="0" applyNumberFormat="1" applyFont="1" applyFill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5" fillId="0" borderId="26" xfId="0" quotePrefix="1" applyFont="1" applyBorder="1" applyAlignment="1">
      <alignment horizontal="left" vertical="center" wrapText="1"/>
    </xf>
    <xf numFmtId="0" fontId="25" fillId="0" borderId="15" xfId="0" applyFont="1" applyBorder="1" applyAlignment="1">
      <alignment horizontal="center" vertical="center" wrapText="1"/>
    </xf>
    <xf numFmtId="164" fontId="33" fillId="10" borderId="11" xfId="8" applyNumberFormat="1" applyFont="1" applyAlignment="1">
      <alignment vertical="top"/>
    </xf>
    <xf numFmtId="0" fontId="29" fillId="0" borderId="13" xfId="0" applyFont="1" applyBorder="1" applyAlignment="1">
      <alignment vertical="top" wrapText="1"/>
    </xf>
    <xf numFmtId="0" fontId="29" fillId="0" borderId="1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7" fillId="0" borderId="18" xfId="0" applyFont="1" applyBorder="1" applyAlignment="1">
      <alignment vertical="center"/>
    </xf>
    <xf numFmtId="0" fontId="30" fillId="0" borderId="20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/>
    </xf>
    <xf numFmtId="49" fontId="38" fillId="0" borderId="0" xfId="0" applyNumberFormat="1" applyFont="1" applyBorder="1" applyAlignment="1"/>
    <xf numFmtId="49" fontId="39" fillId="0" borderId="7" xfId="4" applyNumberFormat="1" applyFont="1" applyBorder="1"/>
    <xf numFmtId="49" fontId="39" fillId="0" borderId="9" xfId="4" applyNumberFormat="1" applyFont="1" applyBorder="1"/>
    <xf numFmtId="49" fontId="22" fillId="2" borderId="0" xfId="0" applyNumberFormat="1" applyFont="1" applyFill="1" applyAlignment="1">
      <alignment horizontal="center" vertical="center" wrapText="1"/>
    </xf>
    <xf numFmtId="49" fontId="39" fillId="0" borderId="2" xfId="4" applyNumberFormat="1" applyFont="1"/>
    <xf numFmtId="49" fontId="39" fillId="0" borderId="0" xfId="0" applyNumberFormat="1" applyFont="1" applyAlignment="1"/>
    <xf numFmtId="0" fontId="38" fillId="0" borderId="0" xfId="0" applyNumberFormat="1" applyFont="1" applyAlignment="1"/>
    <xf numFmtId="49" fontId="38" fillId="0" borderId="23" xfId="0" applyNumberFormat="1" applyFont="1" applyBorder="1" applyAlignment="1"/>
    <xf numFmtId="49" fontId="38" fillId="0" borderId="0" xfId="0" applyNumberFormat="1" applyFont="1" applyAlignment="1"/>
    <xf numFmtId="49" fontId="38" fillId="0" borderId="24" xfId="0" applyNumberFormat="1" applyFont="1" applyBorder="1" applyAlignment="1"/>
    <xf numFmtId="49" fontId="22" fillId="2" borderId="0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/>
    <xf numFmtId="49" fontId="41" fillId="0" borderId="0" xfId="0" applyNumberFormat="1" applyFont="1" applyBorder="1"/>
    <xf numFmtId="49" fontId="23" fillId="0" borderId="0" xfId="0" applyNumberFormat="1" applyFont="1" applyBorder="1" applyAlignment="1"/>
    <xf numFmtId="49" fontId="29" fillId="0" borderId="0" xfId="0" applyNumberFormat="1" applyFont="1" applyBorder="1"/>
    <xf numFmtId="49" fontId="39" fillId="0" borderId="0" xfId="0" applyNumberFormat="1" applyFont="1" applyBorder="1" applyAlignment="1"/>
    <xf numFmtId="49" fontId="42" fillId="0" borderId="0" xfId="0" applyNumberFormat="1" applyFont="1" applyBorder="1" applyAlignment="1"/>
    <xf numFmtId="49" fontId="39" fillId="0" borderId="0" xfId="0" applyNumberFormat="1" applyFont="1" applyBorder="1" applyAlignment="1">
      <alignment wrapText="1"/>
    </xf>
    <xf numFmtId="0" fontId="24" fillId="0" borderId="0" xfId="0" applyFont="1"/>
    <xf numFmtId="49" fontId="27" fillId="2" borderId="0" xfId="0" applyNumberFormat="1" applyFont="1" applyFill="1" applyBorder="1" applyAlignment="1"/>
    <xf numFmtId="49" fontId="43" fillId="0" borderId="0" xfId="0" applyNumberFormat="1" applyFont="1" applyBorder="1"/>
    <xf numFmtId="49" fontId="38" fillId="0" borderId="0" xfId="0" applyNumberFormat="1" applyFont="1" applyBorder="1" applyAlignment="1">
      <alignment wrapText="1"/>
    </xf>
    <xf numFmtId="49" fontId="22" fillId="2" borderId="0" xfId="0" applyNumberFormat="1" applyFont="1" applyFill="1" applyBorder="1" applyAlignment="1"/>
    <xf numFmtId="49" fontId="23" fillId="2" borderId="0" xfId="0" applyNumberFormat="1" applyFont="1" applyFill="1" applyBorder="1"/>
    <xf numFmtId="49" fontId="40" fillId="0" borderId="0" xfId="0" applyNumberFormat="1" applyFont="1" applyBorder="1"/>
    <xf numFmtId="49" fontId="40" fillId="0" borderId="24" xfId="0" applyNumberFormat="1" applyFont="1" applyBorder="1"/>
    <xf numFmtId="49" fontId="23" fillId="2" borderId="0" xfId="0" applyNumberFormat="1" applyFont="1" applyFill="1" applyAlignment="1"/>
    <xf numFmtId="49" fontId="38" fillId="0" borderId="8" xfId="0" applyNumberFormat="1" applyFont="1" applyBorder="1" applyAlignment="1"/>
    <xf numFmtId="49" fontId="14" fillId="0" borderId="0" xfId="0" applyNumberFormat="1" applyFont="1" applyBorder="1" applyAlignment="1">
      <alignment wrapText="1"/>
    </xf>
    <xf numFmtId="0" fontId="14" fillId="0" borderId="2" xfId="4"/>
    <xf numFmtId="49" fontId="13" fillId="0" borderId="0" xfId="0" applyNumberFormat="1" applyFont="1" applyBorder="1" applyAlignment="1"/>
    <xf numFmtId="49" fontId="44" fillId="2" borderId="0" xfId="0" applyNumberFormat="1" applyFont="1" applyFill="1" applyAlignment="1">
      <alignment horizontal="center" vertical="center" wrapText="1"/>
    </xf>
    <xf numFmtId="49" fontId="44" fillId="0" borderId="0" xfId="0" applyNumberFormat="1" applyFont="1" applyAlignment="1"/>
    <xf numFmtId="0" fontId="46" fillId="0" borderId="0" xfId="0" applyFont="1"/>
    <xf numFmtId="0" fontId="46" fillId="0" borderId="24" xfId="0" applyFont="1" applyBorder="1"/>
    <xf numFmtId="49" fontId="3" fillId="0" borderId="0" xfId="0" applyNumberFormat="1" applyFont="1" applyBorder="1" applyAlignment="1"/>
    <xf numFmtId="0" fontId="47" fillId="0" borderId="0" xfId="0" applyFont="1"/>
    <xf numFmtId="0" fontId="48" fillId="0" borderId="0" xfId="0" applyFont="1"/>
    <xf numFmtId="49" fontId="24" fillId="0" borderId="0" xfId="0" applyNumberFormat="1" applyFont="1" applyAlignment="1">
      <alignment horizontal="fill"/>
    </xf>
    <xf numFmtId="49" fontId="20" fillId="10" borderId="11" xfId="8" applyNumberFormat="1" applyAlignment="1">
      <alignment horizontal="fill" wrapText="1"/>
    </xf>
    <xf numFmtId="49" fontId="2" fillId="0" borderId="0" xfId="0" applyNumberFormat="1" applyFont="1" applyBorder="1" applyAlignment="1"/>
    <xf numFmtId="49" fontId="6" fillId="0" borderId="0" xfId="0" applyNumberFormat="1" applyFont="1" applyBorder="1"/>
    <xf numFmtId="0" fontId="9" fillId="0" borderId="0" xfId="0" applyFont="1" applyAlignment="1">
      <alignment horizontal="left"/>
    </xf>
    <xf numFmtId="49" fontId="23" fillId="0" borderId="0" xfId="0" applyNumberFormat="1" applyFont="1" applyAlignment="1"/>
    <xf numFmtId="49" fontId="24" fillId="0" borderId="0" xfId="0" applyNumberFormat="1" applyFont="1" applyFill="1" applyAlignment="1">
      <alignment horizontal="right" vertical="center" wrapText="1"/>
    </xf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49" fontId="7" fillId="0" borderId="0" xfId="0" applyNumberFormat="1" applyFont="1" applyBorder="1" applyAlignment="1"/>
    <xf numFmtId="0" fontId="20" fillId="10" borderId="11" xfId="8"/>
    <xf numFmtId="2" fontId="21" fillId="11" borderId="12" xfId="9" applyNumberFormat="1"/>
    <xf numFmtId="165" fontId="21" fillId="11" borderId="12" xfId="9" applyNumberFormat="1"/>
    <xf numFmtId="0" fontId="21" fillId="11" borderId="12" xfId="9"/>
    <xf numFmtId="166" fontId="21" fillId="11" borderId="12" xfId="9" applyNumberFormat="1"/>
    <xf numFmtId="49" fontId="14" fillId="0" borderId="0" xfId="0" applyNumberFormat="1" applyFont="1" applyBorder="1" applyAlignment="1"/>
    <xf numFmtId="0" fontId="45" fillId="0" borderId="0" xfId="0" applyNumberFormat="1" applyFont="1" applyBorder="1" applyAlignment="1">
      <alignment horizontal="fill"/>
    </xf>
    <xf numFmtId="49" fontId="2" fillId="0" borderId="0" xfId="0" applyNumberFormat="1" applyFont="1" applyAlignment="1"/>
    <xf numFmtId="49" fontId="23" fillId="0" borderId="0" xfId="0" applyNumberFormat="1" applyFont="1" applyAlignment="1"/>
    <xf numFmtId="49" fontId="26" fillId="15" borderId="0" xfId="0" applyNumberFormat="1" applyFont="1" applyFill="1" applyAlignment="1">
      <alignment horizontal="center" vertical="center"/>
    </xf>
    <xf numFmtId="49" fontId="6" fillId="0" borderId="0" xfId="0" applyNumberFormat="1" applyFont="1" applyBorder="1" applyAlignment="1"/>
    <xf numFmtId="49" fontId="8" fillId="0" borderId="0" xfId="0" applyNumberFormat="1" applyFont="1" applyBorder="1" applyAlignment="1">
      <alignment wrapText="1"/>
    </xf>
    <xf numFmtId="49" fontId="8" fillId="0" borderId="0" xfId="0" applyNumberFormat="1" applyFont="1" applyBorder="1" applyAlignment="1"/>
    <xf numFmtId="49" fontId="27" fillId="0" borderId="0" xfId="0" applyNumberFormat="1" applyFont="1" applyAlignment="1">
      <alignment wrapText="1"/>
    </xf>
    <xf numFmtId="49" fontId="38" fillId="0" borderId="0" xfId="0" applyNumberFormat="1" applyFont="1" applyAlignment="1">
      <alignment wrapText="1"/>
    </xf>
    <xf numFmtId="49" fontId="8" fillId="0" borderId="0" xfId="0" applyNumberFormat="1" applyFont="1" applyBorder="1" applyAlignment="1">
      <alignment vertical="center"/>
    </xf>
    <xf numFmtId="49" fontId="8" fillId="0" borderId="10" xfId="0" applyNumberFormat="1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" fillId="0" borderId="10" xfId="0" applyFont="1" applyBorder="1" applyAlignment="1">
      <alignment vertical="center"/>
    </xf>
    <xf numFmtId="0" fontId="21" fillId="11" borderId="28" xfId="9" applyNumberFormat="1" applyBorder="1" applyAlignment="1"/>
    <xf numFmtId="0" fontId="28" fillId="0" borderId="4" xfId="0" applyFont="1" applyBorder="1"/>
    <xf numFmtId="0" fontId="30" fillId="0" borderId="29" xfId="0" applyFont="1" applyBorder="1" applyAlignment="1">
      <alignment horizontal="center" vertical="center" wrapText="1"/>
    </xf>
    <xf numFmtId="0" fontId="20" fillId="10" borderId="30" xfId="8" applyBorder="1"/>
    <xf numFmtId="49" fontId="38" fillId="0" borderId="4" xfId="0" applyNumberFormat="1" applyFont="1" applyBorder="1" applyAlignment="1"/>
    <xf numFmtId="0" fontId="47" fillId="0" borderId="30" xfId="8" applyFont="1" applyFill="1" applyBorder="1"/>
    <xf numFmtId="0" fontId="47" fillId="0" borderId="11" xfId="8" applyFont="1" applyFill="1"/>
    <xf numFmtId="0" fontId="48" fillId="0" borderId="27" xfId="8" applyFont="1" applyFill="1" applyBorder="1"/>
    <xf numFmtId="2" fontId="49" fillId="0" borderId="22" xfId="9" applyNumberFormat="1" applyFont="1" applyFill="1" applyBorder="1"/>
    <xf numFmtId="165" fontId="49" fillId="0" borderId="12" xfId="9" applyNumberFormat="1" applyFont="1" applyFill="1"/>
    <xf numFmtId="0" fontId="49" fillId="0" borderId="12" xfId="9" applyFont="1" applyFill="1"/>
    <xf numFmtId="0" fontId="47" fillId="0" borderId="0" xfId="0" applyFont="1" applyFill="1"/>
    <xf numFmtId="2" fontId="49" fillId="0" borderId="12" xfId="9" applyNumberFormat="1" applyFont="1" applyFill="1"/>
    <xf numFmtId="166" fontId="49" fillId="0" borderId="12" xfId="9" applyNumberFormat="1" applyFont="1" applyFill="1"/>
    <xf numFmtId="0" fontId="48" fillId="0" borderId="0" xfId="0" applyFont="1" applyFill="1"/>
    <xf numFmtId="165" fontId="50" fillId="0" borderId="12" xfId="9" applyNumberFormat="1" applyFont="1" applyFill="1"/>
    <xf numFmtId="0" fontId="50" fillId="0" borderId="12" xfId="9" applyFont="1" applyFill="1"/>
    <xf numFmtId="0" fontId="20" fillId="0" borderId="30" xfId="8" applyFill="1" applyBorder="1"/>
    <xf numFmtId="0" fontId="20" fillId="0" borderId="11" xfId="8" applyFill="1"/>
    <xf numFmtId="0" fontId="46" fillId="0" borderId="0" xfId="0" applyFont="1" applyAlignment="1">
      <alignment horizontal="center"/>
    </xf>
    <xf numFmtId="49" fontId="38" fillId="0" borderId="0" xfId="0" applyNumberFormat="1" applyFont="1" applyAlignment="1">
      <alignment horizontal="center"/>
    </xf>
    <xf numFmtId="49" fontId="38" fillId="0" borderId="0" xfId="0" applyNumberFormat="1" applyFont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0" fillId="0" borderId="0" xfId="0" applyNumberFormat="1" applyFont="1" applyBorder="1" applyAlignment="1">
      <alignment horizontal="center"/>
    </xf>
    <xf numFmtId="0" fontId="17" fillId="0" borderId="0" xfId="0" applyNumberFormat="1" applyFont="1"/>
    <xf numFmtId="0" fontId="8" fillId="0" borderId="0" xfId="0" applyNumberFormat="1" applyFont="1" applyBorder="1" applyAlignment="1">
      <alignment wrapText="1"/>
    </xf>
    <xf numFmtId="0" fontId="8" fillId="0" borderId="0" xfId="0" applyNumberFormat="1" applyFont="1" applyBorder="1" applyAlignment="1"/>
    <xf numFmtId="0" fontId="38" fillId="0" borderId="0" xfId="0" applyNumberFormat="1" applyFont="1" applyBorder="1" applyAlignment="1">
      <alignment wrapText="1"/>
    </xf>
    <xf numFmtId="0" fontId="53" fillId="0" borderId="0" xfId="0" applyFont="1" applyAlignment="1">
      <alignment vertical="center"/>
    </xf>
    <xf numFmtId="49" fontId="53" fillId="0" borderId="0" xfId="0" applyNumberFormat="1" applyFont="1" applyBorder="1" applyAlignment="1">
      <alignment vertical="center"/>
    </xf>
    <xf numFmtId="49" fontId="53" fillId="0" borderId="0" xfId="0" applyNumberFormat="1" applyFont="1" applyBorder="1" applyAlignment="1">
      <alignment vertical="center" wrapText="1"/>
    </xf>
    <xf numFmtId="49" fontId="53" fillId="0" borderId="0" xfId="0" applyNumberFormat="1" applyFont="1" applyBorder="1" applyAlignment="1"/>
    <xf numFmtId="49" fontId="53" fillId="0" borderId="0" xfId="0" applyNumberFormat="1" applyFont="1" applyBorder="1" applyAlignment="1">
      <alignment wrapText="1"/>
    </xf>
    <xf numFmtId="0" fontId="54" fillId="0" borderId="0" xfId="0" applyFont="1" applyAlignment="1">
      <alignment vertical="center"/>
    </xf>
    <xf numFmtId="49" fontId="55" fillId="0" borderId="10" xfId="0" applyNumberFormat="1" applyFont="1" applyBorder="1" applyAlignment="1">
      <alignment vertical="center" wrapText="1"/>
    </xf>
    <xf numFmtId="0" fontId="55" fillId="0" borderId="0" xfId="0" applyFont="1" applyAlignment="1">
      <alignment vertical="center"/>
    </xf>
    <xf numFmtId="49" fontId="55" fillId="0" borderId="0" xfId="0" applyNumberFormat="1" applyFont="1" applyBorder="1" applyAlignment="1">
      <alignment wrapText="1"/>
    </xf>
    <xf numFmtId="0" fontId="0" fillId="0" borderId="0" xfId="0" applyBorder="1" applyAlignment="1">
      <alignment vertical="center"/>
    </xf>
    <xf numFmtId="0" fontId="55" fillId="0" borderId="0" xfId="0" applyFont="1" applyBorder="1" applyAlignment="1">
      <alignment vertical="center"/>
    </xf>
    <xf numFmtId="0" fontId="56" fillId="0" borderId="0" xfId="0" applyFont="1" applyBorder="1" applyAlignment="1">
      <alignment vertical="center"/>
    </xf>
    <xf numFmtId="0" fontId="55" fillId="0" borderId="10" xfId="0" applyFont="1" applyBorder="1" applyAlignment="1">
      <alignment vertical="center"/>
    </xf>
    <xf numFmtId="49" fontId="8" fillId="0" borderId="0" xfId="0" applyNumberFormat="1" applyFont="1" applyBorder="1" applyAlignment="1">
      <alignment vertical="center" wrapText="1"/>
    </xf>
    <xf numFmtId="49" fontId="3" fillId="16" borderId="0" xfId="0" applyNumberFormat="1" applyFont="1" applyFill="1" applyBorder="1" applyAlignment="1"/>
    <xf numFmtId="0" fontId="58" fillId="0" borderId="3" xfId="0" applyFont="1" applyBorder="1" applyAlignment="1">
      <alignment horizontal="right"/>
    </xf>
    <xf numFmtId="0" fontId="60" fillId="0" borderId="4" xfId="0" applyFont="1" applyBorder="1" applyAlignment="1"/>
    <xf numFmtId="0" fontId="60" fillId="0" borderId="4" xfId="0" applyNumberFormat="1" applyFont="1" applyBorder="1" applyAlignment="1"/>
    <xf numFmtId="0" fontId="61" fillId="0" borderId="4" xfId="0" applyNumberFormat="1" applyFont="1" applyBorder="1" applyAlignment="1"/>
    <xf numFmtId="0" fontId="61" fillId="0" borderId="0" xfId="0" applyFont="1"/>
    <xf numFmtId="49" fontId="26" fillId="3" borderId="0" xfId="0" applyNumberFormat="1" applyFont="1" applyFill="1" applyAlignment="1">
      <alignment horizontal="center" vertical="center" wrapText="1"/>
    </xf>
    <xf numFmtId="0" fontId="30" fillId="0" borderId="0" xfId="0" applyFont="1" applyBorder="1" applyAlignment="1">
      <alignment horizontal="center"/>
    </xf>
    <xf numFmtId="0" fontId="30" fillId="0" borderId="13" xfId="0" applyFont="1" applyBorder="1" applyAlignment="1">
      <alignment horizontal="center"/>
    </xf>
    <xf numFmtId="49" fontId="26" fillId="15" borderId="0" xfId="0" applyNumberFormat="1" applyFont="1" applyFill="1" applyAlignment="1">
      <alignment horizontal="center" vertical="center"/>
    </xf>
    <xf numFmtId="49" fontId="26" fillId="12" borderId="0" xfId="0" applyNumberFormat="1" applyFont="1" applyFill="1" applyAlignment="1"/>
    <xf numFmtId="49" fontId="23" fillId="0" borderId="0" xfId="0" applyNumberFormat="1" applyFont="1" applyAlignment="1"/>
    <xf numFmtId="49" fontId="22" fillId="4" borderId="0" xfId="0" applyNumberFormat="1" applyFont="1" applyFill="1" applyAlignment="1">
      <alignment horizontal="center" vertical="center" wrapText="1"/>
    </xf>
    <xf numFmtId="49" fontId="27" fillId="2" borderId="0" xfId="0" applyNumberFormat="1" applyFont="1" applyFill="1" applyAlignment="1"/>
    <xf numFmtId="49" fontId="26" fillId="0" borderId="0" xfId="0" applyNumberFormat="1" applyFont="1" applyAlignment="1"/>
    <xf numFmtId="49" fontId="26" fillId="3" borderId="0" xfId="0" applyNumberFormat="1" applyFont="1" applyFill="1" applyAlignment="1">
      <alignment horizontal="center" vertical="center"/>
    </xf>
    <xf numFmtId="49" fontId="26" fillId="13" borderId="0" xfId="0" applyNumberFormat="1" applyFont="1" applyFill="1" applyAlignment="1">
      <alignment horizontal="center" vertical="center"/>
    </xf>
    <xf numFmtId="49" fontId="26" fillId="14" borderId="0" xfId="0" applyNumberFormat="1" applyFont="1" applyFill="1" applyAlignment="1"/>
    <xf numFmtId="49" fontId="24" fillId="0" borderId="0" xfId="0" applyNumberFormat="1" applyFont="1" applyFill="1" applyAlignment="1">
      <alignment horizontal="right" vertical="center" wrapText="1"/>
    </xf>
    <xf numFmtId="49" fontId="59" fillId="12" borderId="23" xfId="0" applyNumberFormat="1" applyFont="1" applyFill="1" applyBorder="1" applyAlignment="1">
      <alignment horizontal="center"/>
    </xf>
    <xf numFmtId="49" fontId="59" fillId="12" borderId="0" xfId="0" applyNumberFormat="1" applyFont="1" applyFill="1" applyBorder="1" applyAlignment="1">
      <alignment horizontal="center"/>
    </xf>
    <xf numFmtId="49" fontId="59" fillId="12" borderId="24" xfId="0" applyNumberFormat="1" applyFont="1" applyFill="1" applyBorder="1" applyAlignment="1">
      <alignment horizontal="center"/>
    </xf>
    <xf numFmtId="49" fontId="25" fillId="12" borderId="23" xfId="0" applyNumberFormat="1" applyFont="1" applyFill="1" applyBorder="1" applyAlignment="1">
      <alignment horizontal="center"/>
    </xf>
    <xf numFmtId="49" fontId="25" fillId="12" borderId="0" xfId="0" applyNumberFormat="1" applyFont="1" applyFill="1" applyBorder="1" applyAlignment="1">
      <alignment horizontal="center"/>
    </xf>
    <xf numFmtId="49" fontId="25" fillId="12" borderId="24" xfId="0" applyNumberFormat="1" applyFont="1" applyFill="1" applyBorder="1" applyAlignment="1">
      <alignment horizontal="center"/>
    </xf>
    <xf numFmtId="49" fontId="52" fillId="3" borderId="0" xfId="0" applyNumberFormat="1" applyFont="1" applyFill="1" applyAlignment="1">
      <alignment horizontal="center" vertical="center" textRotation="180" wrapText="1"/>
    </xf>
    <xf numFmtId="0" fontId="30" fillId="0" borderId="19" xfId="0" applyFont="1" applyBorder="1" applyAlignment="1">
      <alignment horizontal="center" vertical="center"/>
    </xf>
    <xf numFmtId="49" fontId="62" fillId="0" borderId="0" xfId="0" applyNumberFormat="1" applyFont="1" applyAlignment="1"/>
    <xf numFmtId="49" fontId="63" fillId="0" borderId="0" xfId="0" applyNumberFormat="1" applyFont="1" applyAlignment="1"/>
    <xf numFmtId="49" fontId="64" fillId="0" borderId="0" xfId="0" applyNumberFormat="1" applyFont="1" applyAlignment="1"/>
    <xf numFmtId="49" fontId="67" fillId="0" borderId="0" xfId="0" applyNumberFormat="1" applyFont="1" applyBorder="1" applyAlignment="1"/>
    <xf numFmtId="49" fontId="67" fillId="5" borderId="5" xfId="3" applyNumberFormat="1" applyFont="1"/>
    <xf numFmtId="49" fontId="62" fillId="6" borderId="1" xfId="1" applyNumberFormat="1" applyFont="1"/>
    <xf numFmtId="49" fontId="67" fillId="0" borderId="7" xfId="4" applyNumberFormat="1" applyFont="1" applyBorder="1"/>
    <xf numFmtId="49" fontId="67" fillId="0" borderId="9" xfId="4" applyNumberFormat="1" applyFont="1" applyBorder="1"/>
    <xf numFmtId="0" fontId="62" fillId="0" borderId="0" xfId="0" applyNumberFormat="1" applyFont="1" applyAlignment="1"/>
    <xf numFmtId="0" fontId="67" fillId="0" borderId="0" xfId="0" applyNumberFormat="1" applyFont="1" applyBorder="1" applyAlignment="1">
      <alignment horizontal="fill"/>
    </xf>
    <xf numFmtId="49" fontId="18" fillId="0" borderId="0" xfId="0" applyNumberFormat="1" applyFont="1" applyAlignment="1">
      <alignment horizontal="fill"/>
    </xf>
    <xf numFmtId="0" fontId="18" fillId="0" borderId="0" xfId="0" applyNumberFormat="1" applyFont="1" applyBorder="1" applyAlignment="1"/>
    <xf numFmtId="49" fontId="3" fillId="7" borderId="1" xfId="7" applyNumberFormat="1" applyFont="1" applyAlignment="1">
      <alignment horizontal="center"/>
    </xf>
    <xf numFmtId="0" fontId="3" fillId="0" borderId="2" xfId="4" applyFont="1" applyAlignment="1">
      <alignment horizontal="center"/>
    </xf>
    <xf numFmtId="49" fontId="3" fillId="17" borderId="1" xfId="6" applyNumberFormat="1" applyFont="1" applyFill="1" applyAlignment="1">
      <alignment horizontal="center"/>
    </xf>
    <xf numFmtId="49" fontId="68" fillId="8" borderId="2" xfId="2" applyNumberFormat="1" applyFont="1"/>
    <xf numFmtId="0" fontId="69" fillId="0" borderId="0" xfId="0" quotePrefix="1" applyNumberFormat="1" applyFont="1" applyAlignment="1"/>
  </cellXfs>
  <cellStyles count="10">
    <cellStyle name="(Re)design" xfId="5" xr:uid="{00000000-0005-0000-0000-000000000000}"/>
    <cellStyle name="Complete" xfId="2" xr:uid="{00000000-0005-0000-0000-000001000000}"/>
    <cellStyle name="Failed/Stalled" xfId="7" xr:uid="{00000000-0005-0000-0000-000006000000}"/>
    <cellStyle name="In Progress" xfId="1" xr:uid="{00000000-0005-0000-0000-000002000000}"/>
    <cellStyle name="Incomplete" xfId="4" xr:uid="{00000000-0005-0000-0000-000003000000}"/>
    <cellStyle name="Input" xfId="8" builtinId="20"/>
    <cellStyle name="N/A" xfId="3" xr:uid="{00000000-0005-0000-0000-000004000000}"/>
    <cellStyle name="Normal" xfId="0" builtinId="0" customBuiltin="1"/>
    <cellStyle name="Output" xfId="9" builtinId="21"/>
    <cellStyle name="Waiting" xfId="6" xr:uid="{00000000-0005-0000-0000-000007000000}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</font>
    </dxf>
    <dxf>
      <border diagonalUp="0" diagonalDown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onsolas"/>
        <scheme val="none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/>
        <bottom/>
      </border>
    </dxf>
    <dxf>
      <border outline="0">
        <right style="thick">
          <color indexed="64"/>
        </right>
      </border>
    </dxf>
    <dxf>
      <font>
        <i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66"/>
      <color rgb="FFFFFF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F406" totalsRowShown="0" headerRowDxfId="22">
  <autoFilter ref="A1:F406" xr:uid="{00000000-0009-0000-0100-000003000000}"/>
  <tableColumns count="6">
    <tableColumn id="1" xr3:uid="{00000000-0010-0000-0000-000001000000}" name="ID" dataDxfId="21"/>
    <tableColumn id="2" xr3:uid="{00000000-0010-0000-0000-000002000000}" name="Description" dataDxfId="20"/>
    <tableColumn id="4" xr3:uid="{00000000-0010-0000-0000-000004000000}" name="Name (generated)" dataDxfId="19">
      <calculatedColumnFormula>CONCATENATE(A2," ",B2)</calculatedColumnFormula>
    </tableColumn>
    <tableColumn id="5" xr3:uid="{00000000-0010-0000-0000-000005000000}" name="Sequence" dataDxfId="18"/>
    <tableColumn id="7" xr3:uid="{00000000-0010-0000-0000-000007000000}" name="Notes"/>
    <tableColumn id="6" xr3:uid="{00000000-0010-0000-0000-000006000000}" name="Length" dataDxfId="17">
      <calculatedColumnFormula>LEN(Table3[[#This Row],[Sequence]])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I386" totalsRowShown="0">
  <autoFilter ref="A1:I386" xr:uid="{00000000-0009-0000-0100-000001000000}"/>
  <tableColumns count="9">
    <tableColumn id="1" xr3:uid="{00000000-0010-0000-0100-000001000000}" name="Name" dataDxfId="16">
      <calculatedColumnFormula>Table3[[#This Row],[Name (generated)]]</calculatedColumnFormula>
    </tableColumn>
    <tableColumn id="2" xr3:uid="{00000000-0010-0000-0100-000002000000}" name="5' mod"/>
    <tableColumn id="3" xr3:uid="{00000000-0010-0000-0100-000003000000}" name="Sequence"/>
    <tableColumn id="4" xr3:uid="{00000000-0010-0000-0100-000004000000}" name="3' mod"/>
    <tableColumn id="5" xr3:uid="{00000000-0010-0000-0100-000005000000}" name="Scale"/>
    <tableColumn id="6" xr3:uid="{00000000-0010-0000-0100-000006000000}" name="Purification"/>
    <tableColumn id="7" xr3:uid="{00000000-0010-0000-0100-000007000000}" name="Format"/>
    <tableColumn id="8" xr3:uid="{00000000-0010-0000-0100-000008000000}" name="Concentration"/>
    <tableColumn id="9" xr3:uid="{00000000-0010-0000-0100-000009000000}" name="Numbe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083CB7-6F0E-4B7F-8BDF-D6A4CD50776B}" name="Table6" displayName="Table6" ref="A1:F32" totalsRowShown="0" headerRowDxfId="15" dataDxfId="14" totalsRowDxfId="12" tableBorderDxfId="13">
  <autoFilter ref="A1:F32" xr:uid="{C882153D-3282-4873-AF0F-89FB21693B05}"/>
  <tableColumns count="6">
    <tableColumn id="1" xr3:uid="{6C3A7D1E-75E4-4CBB-991C-D297369DBE2A}" name="ID" dataDxfId="11" totalsRowDxfId="10"/>
    <tableColumn id="2" xr3:uid="{7AF3F17B-0A62-47BA-9766-D2E45DD89772}" name="Name" dataDxfId="9" totalsRowDxfId="8"/>
    <tableColumn id="3" xr3:uid="{52A30F59-B666-4B16-B6BD-DF72A9BDB4DE}" name="Linear DNAs" dataDxfId="7" totalsRowDxfId="6"/>
    <tableColumn id="4" xr3:uid="{0D4A866E-639E-46CD-A08C-F5319E8259B5}" name="Assemblies" dataDxfId="5" totalsRowDxfId="4"/>
    <tableColumn id="5" xr3:uid="{89018EA2-7C75-4C6C-B5C3-A0E0290A0BE1}" name="Sequencing" dataDxfId="3" totalsRowDxfId="2"/>
    <tableColumn id="6" xr3:uid="{B0A137D6-1495-44F2-8BA7-AF6F5B45CB5B}" name="Sorting" dataDxfId="1" totalsRow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U87"/>
  <sheetViews>
    <sheetView tabSelected="1" zoomScale="115" zoomScaleNormal="115" workbookViewId="0">
      <pane xSplit="8" ySplit="3" topLeftCell="I4" activePane="bottomRight" state="frozen"/>
      <selection activeCell="B1" sqref="B1"/>
      <selection pane="topRight" activeCell="E1" sqref="E1"/>
      <selection pane="bottomLeft" activeCell="B5" sqref="B5"/>
      <selection pane="bottomRight" activeCell="C6" sqref="C6"/>
    </sheetView>
  </sheetViews>
  <sheetFormatPr defaultColWidth="14.41796875" defaultRowHeight="15.75" customHeight="1" x14ac:dyDescent="0.55000000000000004"/>
  <cols>
    <col min="1" max="1" width="6.3125" style="85" hidden="1" customWidth="1"/>
    <col min="2" max="2" width="7.7890625" style="19" customWidth="1"/>
    <col min="3" max="3" width="26.41796875" style="19" customWidth="1"/>
    <col min="4" max="4" width="5.89453125" style="19" customWidth="1"/>
    <col min="5" max="5" width="23.83984375" style="19" customWidth="1"/>
    <col min="6" max="6" width="7.41796875" style="19" customWidth="1"/>
    <col min="7" max="7" width="7.1015625" style="19" customWidth="1"/>
    <col min="8" max="8" width="2.68359375" style="19" hidden="1" customWidth="1"/>
    <col min="9" max="9" width="10.7890625" style="67" customWidth="1"/>
    <col min="10" max="15" width="10.5234375" style="67" customWidth="1"/>
    <col min="16" max="16" width="10.5234375" style="59" customWidth="1"/>
    <col min="17" max="17" width="1" style="86" hidden="1" customWidth="1"/>
    <col min="18" max="18" width="14.89453125" style="67" customWidth="1"/>
    <col min="19" max="19" width="26.20703125" style="67" customWidth="1"/>
    <col min="20" max="20" width="44.7890625" style="67" customWidth="1"/>
    <col min="21" max="21" width="65.68359375" style="67" customWidth="1"/>
    <col min="22" max="22" width="9" style="102" customWidth="1"/>
    <col min="23" max="23" width="4.5234375" customWidth="1"/>
    <col min="24" max="24" width="16.89453125" style="67" customWidth="1"/>
    <col min="25" max="25" width="9" style="67" customWidth="1"/>
    <col min="26" max="26" width="11" style="132" customWidth="1"/>
    <col min="27" max="27" width="9.3125" style="67" customWidth="1"/>
    <col min="28" max="28" width="7.20703125" style="67" customWidth="1"/>
    <col min="29" max="29" width="10.7890625" style="67" customWidth="1"/>
    <col min="30" max="30" width="10" style="67" customWidth="1"/>
    <col min="31" max="31" width="8.1015625" style="67" customWidth="1"/>
    <col min="32" max="32" width="3" style="67" customWidth="1"/>
    <col min="33" max="33" width="10.7890625" style="67" customWidth="1"/>
    <col min="34" max="34" width="8.89453125" style="67"/>
    <col min="35" max="35" width="3.1015625" style="67" customWidth="1"/>
    <col min="36" max="36" width="11.41796875" style="66" customWidth="1"/>
    <col min="37" max="37" width="7" style="67" customWidth="1"/>
    <col min="38" max="38" width="7.5234375" style="67" customWidth="1"/>
    <col min="39" max="39" width="10.41796875" style="67" customWidth="1"/>
    <col min="40" max="40" width="5.20703125" style="67" customWidth="1"/>
    <col min="41" max="41" width="3.7890625" style="68" customWidth="1"/>
    <col min="42" max="42" width="10.20703125" style="67" customWidth="1"/>
    <col min="43" max="43" width="18.47265625" style="67" customWidth="1"/>
    <col min="44" max="44" width="47.578125" style="121" customWidth="1"/>
    <col min="45" max="45" width="64.41796875" style="121" customWidth="1"/>
    <col min="46" max="16384" width="14.41796875" style="67"/>
  </cols>
  <sheetData>
    <row r="1" spans="1:47" s="19" customFormat="1" ht="14.4" customHeight="1" x14ac:dyDescent="0.6">
      <c r="A1" s="181"/>
      <c r="B1" s="181"/>
      <c r="C1" s="188" t="s">
        <v>31</v>
      </c>
      <c r="D1" s="188"/>
      <c r="E1" s="188"/>
      <c r="F1" s="188"/>
      <c r="G1" s="188"/>
      <c r="H1" s="188"/>
      <c r="I1" s="210" t="s">
        <v>573</v>
      </c>
      <c r="J1" s="24" t="s">
        <v>123</v>
      </c>
      <c r="K1" s="25" t="s">
        <v>30</v>
      </c>
      <c r="L1" s="209" t="s">
        <v>572</v>
      </c>
      <c r="M1" s="26" t="s">
        <v>29</v>
      </c>
      <c r="N1" s="211" t="s">
        <v>576</v>
      </c>
      <c r="O1" s="27" t="s">
        <v>120</v>
      </c>
      <c r="Q1" s="20"/>
      <c r="R1" s="21"/>
      <c r="S1" s="21"/>
      <c r="T1" s="22"/>
      <c r="U1" s="22"/>
      <c r="V1" s="103"/>
      <c r="X1" s="23"/>
      <c r="Y1" s="23"/>
      <c r="Z1" s="192" t="s">
        <v>303</v>
      </c>
      <c r="AA1" s="193"/>
      <c r="AB1" s="193"/>
      <c r="AC1" s="193"/>
      <c r="AD1" s="193"/>
      <c r="AE1" s="193"/>
      <c r="AF1" s="193"/>
      <c r="AG1" s="193"/>
      <c r="AH1" s="193"/>
      <c r="AI1" s="194"/>
      <c r="AJ1" s="192" t="s">
        <v>566</v>
      </c>
      <c r="AK1" s="193"/>
      <c r="AL1" s="193"/>
      <c r="AM1" s="193"/>
      <c r="AN1" s="193"/>
      <c r="AO1" s="194"/>
      <c r="AP1" s="189" t="s">
        <v>396</v>
      </c>
      <c r="AQ1" s="190"/>
      <c r="AR1" s="190"/>
      <c r="AS1" s="190"/>
      <c r="AT1" s="190"/>
      <c r="AU1" s="191"/>
    </row>
    <row r="2" spans="1:47" s="41" customFormat="1" ht="13.2" customHeight="1" x14ac:dyDescent="0.75">
      <c r="A2" s="182" t="s">
        <v>28</v>
      </c>
      <c r="B2" s="176" t="s">
        <v>116</v>
      </c>
      <c r="C2" s="176" t="s">
        <v>6</v>
      </c>
      <c r="D2" s="185" t="s">
        <v>3</v>
      </c>
      <c r="E2" s="176" t="s">
        <v>395</v>
      </c>
      <c r="F2" s="176" t="s">
        <v>312</v>
      </c>
      <c r="G2" s="176" t="s">
        <v>298</v>
      </c>
      <c r="H2" s="176"/>
      <c r="I2" s="28" t="s">
        <v>27</v>
      </c>
      <c r="J2" s="28" t="s">
        <v>26</v>
      </c>
      <c r="K2" s="28" t="s">
        <v>25</v>
      </c>
      <c r="L2" s="28" t="s">
        <v>24</v>
      </c>
      <c r="M2" s="28" t="s">
        <v>23</v>
      </c>
      <c r="N2" s="28" t="s">
        <v>22</v>
      </c>
      <c r="O2" s="28" t="s">
        <v>21</v>
      </c>
      <c r="P2" s="29" t="s">
        <v>20</v>
      </c>
      <c r="Q2" s="30"/>
      <c r="R2" s="186" t="s">
        <v>19</v>
      </c>
      <c r="S2" s="187"/>
      <c r="T2" s="179" t="s">
        <v>18</v>
      </c>
      <c r="U2" s="180"/>
      <c r="V2" s="195" t="s">
        <v>377</v>
      </c>
      <c r="X2" s="176" t="s">
        <v>1</v>
      </c>
      <c r="Y2" s="176" t="s">
        <v>580</v>
      </c>
      <c r="Z2" s="129"/>
      <c r="AA2" s="31"/>
      <c r="AB2" s="171" t="s">
        <v>564</v>
      </c>
      <c r="AC2" s="32"/>
      <c r="AD2" s="177" t="s">
        <v>304</v>
      </c>
      <c r="AE2" s="178"/>
      <c r="AF2" s="33"/>
      <c r="AG2" s="34" t="s">
        <v>299</v>
      </c>
      <c r="AH2" s="35">
        <v>4.9999999999999998E-8</v>
      </c>
      <c r="AI2" s="36" t="str">
        <f>CONCATENATE("M =",AH2*1000000000000000/1000000," fmol/µL")</f>
        <v>M =50 fmol/µL</v>
      </c>
      <c r="AJ2" s="37"/>
      <c r="AK2" s="37"/>
      <c r="AL2" s="37"/>
      <c r="AM2" s="38" t="s">
        <v>305</v>
      </c>
      <c r="AN2" s="39">
        <v>15</v>
      </c>
      <c r="AO2" s="40" t="s">
        <v>302</v>
      </c>
      <c r="AR2" s="120"/>
      <c r="AS2" s="120"/>
    </row>
    <row r="3" spans="1:47" s="41" customFormat="1" ht="25.8" customHeight="1" x14ac:dyDescent="0.5">
      <c r="A3" s="183"/>
      <c r="B3" s="184"/>
      <c r="C3" s="184"/>
      <c r="D3" s="184"/>
      <c r="E3" s="176"/>
      <c r="F3" s="176"/>
      <c r="G3" s="176"/>
      <c r="H3" s="176"/>
      <c r="I3" s="42" t="s">
        <v>121</v>
      </c>
      <c r="J3" s="42" t="s">
        <v>205</v>
      </c>
      <c r="K3" s="42" t="s">
        <v>17</v>
      </c>
      <c r="L3" s="42" t="s">
        <v>16</v>
      </c>
      <c r="M3" s="42" t="s">
        <v>15</v>
      </c>
      <c r="N3" s="42" t="s">
        <v>14</v>
      </c>
      <c r="O3" s="42" t="s">
        <v>1</v>
      </c>
      <c r="P3" s="43" t="s">
        <v>297</v>
      </c>
      <c r="Q3" s="44"/>
      <c r="R3" s="45" t="s">
        <v>378</v>
      </c>
      <c r="S3" s="46" t="s">
        <v>13</v>
      </c>
      <c r="T3" s="116" t="s">
        <v>117</v>
      </c>
      <c r="U3" s="47" t="s">
        <v>12</v>
      </c>
      <c r="V3" s="195"/>
      <c r="X3" s="176"/>
      <c r="Y3" s="176"/>
      <c r="Z3" s="130" t="s">
        <v>565</v>
      </c>
      <c r="AA3" s="48" t="s">
        <v>306</v>
      </c>
      <c r="AB3" s="49" t="s">
        <v>563</v>
      </c>
      <c r="AC3" s="50" t="s">
        <v>301</v>
      </c>
      <c r="AD3" s="51">
        <v>2.5000000000000001E-14</v>
      </c>
      <c r="AE3" s="52" t="str">
        <f>"mol*" &amp; CHAR(10) &amp; "=" &amp; AD3*1000000000000000 &amp; " fmol"</f>
        <v>mol*
=25 fmol</v>
      </c>
      <c r="AF3" s="53"/>
      <c r="AG3" s="54" t="s">
        <v>300</v>
      </c>
      <c r="AH3" s="55" t="s">
        <v>307</v>
      </c>
      <c r="AI3" s="56"/>
      <c r="AJ3" s="196" t="s">
        <v>306</v>
      </c>
      <c r="AK3" s="196"/>
      <c r="AL3" s="57" t="s">
        <v>308</v>
      </c>
      <c r="AM3" s="58" t="s">
        <v>309</v>
      </c>
      <c r="AN3" s="39">
        <v>2.5</v>
      </c>
      <c r="AO3" s="40" t="s">
        <v>302</v>
      </c>
      <c r="AR3" s="120"/>
      <c r="AS3" s="120"/>
    </row>
    <row r="4" spans="1:47" s="91" customFormat="1" ht="18.3" customHeight="1" x14ac:dyDescent="0.7">
      <c r="A4" s="90" t="s">
        <v>11</v>
      </c>
      <c r="B4" s="197" t="s">
        <v>10</v>
      </c>
      <c r="C4" s="198" t="s">
        <v>567</v>
      </c>
      <c r="D4" s="197" t="s">
        <v>122</v>
      </c>
      <c r="E4" s="199" t="s">
        <v>571</v>
      </c>
      <c r="F4" s="197" t="s">
        <v>0</v>
      </c>
      <c r="G4" s="197" t="s">
        <v>32</v>
      </c>
      <c r="H4" s="200" t="s">
        <v>33</v>
      </c>
      <c r="I4" s="201"/>
      <c r="J4" s="212" t="s">
        <v>9</v>
      </c>
      <c r="K4" s="212" t="s">
        <v>575</v>
      </c>
      <c r="L4" s="212" t="s">
        <v>574</v>
      </c>
      <c r="M4" s="212" t="s">
        <v>118</v>
      </c>
      <c r="N4" s="202" t="s">
        <v>8</v>
      </c>
      <c r="O4" s="202" t="s">
        <v>119</v>
      </c>
      <c r="P4" s="203"/>
      <c r="Q4" s="204"/>
      <c r="R4" s="197" t="s">
        <v>7</v>
      </c>
      <c r="S4" s="205" t="s">
        <v>577</v>
      </c>
      <c r="T4" s="197" t="s">
        <v>578</v>
      </c>
      <c r="U4" s="197" t="s">
        <v>579</v>
      </c>
      <c r="V4" s="206" t="str">
        <f>_xlfn.CONCAT(B4," ",C4," (",D4,")")</f>
        <v>pSPB### Hs.SULT1A1 part (EXAMPLE) (34a)</v>
      </c>
      <c r="W4" s="197"/>
      <c r="X4" s="207" t="s">
        <v>311</v>
      </c>
      <c r="Y4" s="208">
        <v>3000</v>
      </c>
      <c r="Z4" s="133">
        <v>200</v>
      </c>
      <c r="AA4" s="134"/>
      <c r="AB4" s="135"/>
      <c r="AC4" s="136">
        <f>IF($AB4="",IF(OR($Y4="",$Z4=""),"",($Z4*10^-9/10^-6)/($Y4*615.88)*10^9),$AB4)</f>
        <v>108.24619514624062</v>
      </c>
      <c r="AD4" s="137">
        <f>IF($AC4="","",AD$3/($AC4*10^-9)*10^6)</f>
        <v>0.23095499999999997</v>
      </c>
      <c r="AE4" s="138" t="str">
        <f>IF(AD4="","","µL")</f>
        <v>µL</v>
      </c>
      <c r="AF4" s="139"/>
      <c r="AG4" s="140">
        <f>IF($AC4="","",$AC4*10^-9/AH$2)</f>
        <v>2.1649239029248126</v>
      </c>
      <c r="AH4" s="141" t="str">
        <f>IF(AG4="","",IF(AG4&lt;1.05,IF(AG4&gt;0.95,"≈0","Too dilute"),IF(AA4="","",(AG4*AA4)-AA4)))</f>
        <v/>
      </c>
      <c r="AI4" s="142"/>
      <c r="AJ4" s="143">
        <f>IF($AB4="",IF(OR($Y4="",$Z4=""),"",IF($Y4&lt;6000,500/$Z4,IF($Y4&lt;=10000,800/$Z4,1000/$Z4))),IF($Y4&lt;6000,(500/($Y4*617.89*$AB4))*10^6,IF($Y4&lt;=10000,(800/($Y4*617.89*$AB4))*10^6,(1000/($Y4*617.89*$AB4))*10^6)))</f>
        <v>2.5</v>
      </c>
      <c r="AK4" s="144" t="str">
        <f>IF(AJ4="","","µL")</f>
        <v>µL</v>
      </c>
      <c r="AL4" s="143">
        <f>IF(AJ4="","",AN$2-AN$3-AJ4)</f>
        <v>10</v>
      </c>
      <c r="AM4" s="147"/>
      <c r="AN4" s="92"/>
      <c r="AO4" s="93"/>
      <c r="AP4" s="154" t="str">
        <f>B4</f>
        <v>pSPB###</v>
      </c>
      <c r="AQ4" s="154" t="str">
        <f>C4</f>
        <v>Hs.SULT1A1 part (EXAMPLE)</v>
      </c>
      <c r="AR4" s="155" t="str">
        <f>T4</f>
        <v>pcrSPB###: ER22/23 on pSPB152, 520bp; 60° 10s.</v>
      </c>
      <c r="AS4" s="153" t="str">
        <f>U4</f>
        <v>BsaI ChlR: pcrAMF351a, pcrAMF351b, pYTK001</v>
      </c>
      <c r="AT4" s="118" t="str">
        <f>R4</f>
        <v>AW38/39</v>
      </c>
    </row>
    <row r="5" spans="1:47" ht="14.4" x14ac:dyDescent="0.55000000000000004">
      <c r="A5" s="62"/>
      <c r="B5" s="21"/>
      <c r="C5" s="21"/>
      <c r="D5" s="21"/>
      <c r="E5" s="21"/>
      <c r="F5" s="21"/>
      <c r="G5" s="21"/>
      <c r="H5" s="59" t="s">
        <v>33</v>
      </c>
      <c r="I5" s="63"/>
      <c r="J5" s="63"/>
      <c r="K5" s="63"/>
      <c r="L5" s="63"/>
      <c r="M5" s="63"/>
      <c r="N5" s="63"/>
      <c r="O5" s="63"/>
      <c r="P5" s="60"/>
      <c r="Q5" s="61"/>
      <c r="R5" s="64"/>
      <c r="S5" s="213" t="s">
        <v>581</v>
      </c>
      <c r="T5" s="64"/>
      <c r="U5" s="64"/>
      <c r="V5" s="113"/>
      <c r="X5" s="97"/>
      <c r="Y5" s="21"/>
      <c r="Z5" s="145"/>
      <c r="AA5" s="146"/>
      <c r="AB5" s="146"/>
      <c r="AC5" s="136" t="str">
        <f t="shared" ref="AC5:AC20" si="0">IF($AB5="",IF(OR($Y5="",$Z5=""),"",($Z5*10^-9/10^-6)/($Y5*615.88)*10^9),$AB5)</f>
        <v/>
      </c>
      <c r="AD5" s="137" t="str">
        <f t="shared" ref="AD5:AD68" si="1">IF($AC5="","",AD$3/($AC5*10^-9)*10^6)</f>
        <v/>
      </c>
      <c r="AE5" s="138" t="str">
        <f t="shared" ref="AE5:AE68" si="2">IF(AD5="","","µL")</f>
        <v/>
      </c>
      <c r="AF5" s="139"/>
      <c r="AG5" s="140" t="str">
        <f t="shared" ref="AG5:AG68" si="3">IF($AC5="","",$AC5*10^-9/AH$2)</f>
        <v/>
      </c>
      <c r="AH5" s="141" t="str">
        <f>IF(AG5="","",IF(AG5&lt;1.05,IF(AG5&gt;0.95,"≈0","Too dilute"),IF(AA5="","",(AG5*AA5)-AA5)))</f>
        <v/>
      </c>
      <c r="AI5" s="142"/>
      <c r="AJ5" s="143" t="str">
        <f t="shared" ref="AJ5:AJ27" si="4">IF($AB5="",IF(OR($Y5="",$Z5=""),"",IF($Y5&lt;6000,500/$Z5,IF($Y5&lt;=10000,800/$Z5,1000/$Z5))),IF($Y5&lt;6000,(500/($Y5*617.89*$AB5))*10^6,IF($Y5&lt;=10000,(800/($Y5*617.89*$AB5))*10^6,(1000/($Y5*617.89*$AB5))*10^6)))</f>
        <v/>
      </c>
      <c r="AK5" s="144" t="str">
        <f t="shared" ref="AK5:AK27" si="5">IF(AJ5="","","µL")</f>
        <v/>
      </c>
      <c r="AL5" s="143" t="str">
        <f>IF(AJ5="","",AN$2-AN$3-AJ5)</f>
        <v/>
      </c>
      <c r="AM5" s="148"/>
      <c r="AP5" s="154"/>
      <c r="AQ5" s="154"/>
      <c r="AR5" s="155"/>
      <c r="AS5" s="153"/>
      <c r="AT5" s="65"/>
    </row>
    <row r="6" spans="1:47" s="59" customFormat="1" ht="14.4" x14ac:dyDescent="0.55000000000000004">
      <c r="A6" s="69"/>
      <c r="B6" s="170" t="s">
        <v>481</v>
      </c>
      <c r="C6" s="94"/>
      <c r="D6" s="71"/>
      <c r="E6" s="70"/>
      <c r="F6" s="70"/>
      <c r="G6" s="70"/>
      <c r="I6" s="88"/>
      <c r="J6" s="88"/>
      <c r="K6" s="88"/>
      <c r="L6" s="88"/>
      <c r="M6" s="88"/>
      <c r="N6" s="88"/>
      <c r="O6" s="88"/>
      <c r="P6" s="88"/>
      <c r="Q6" s="61"/>
      <c r="R6" s="73"/>
      <c r="S6" s="65" t="e">
        <f ca="1">digest(X6,"NotI")</f>
        <v>#NAME?</v>
      </c>
      <c r="T6" s="74"/>
      <c r="U6" s="112"/>
      <c r="V6" s="113" t="str">
        <f t="shared" ref="V6:V68" si="6">_xlfn.CONCAT(B6," ",C6," (",D6,")")</f>
        <v>pIG001  ()</v>
      </c>
      <c r="X6" s="98"/>
      <c r="Y6" s="128">
        <f t="shared" ref="Y6:Y37" si="7">IF(X6=" ","",LEN(X6))</f>
        <v>0</v>
      </c>
      <c r="Z6" s="131"/>
      <c r="AA6" s="107"/>
      <c r="AB6" s="107"/>
      <c r="AC6" s="108" t="str">
        <f t="shared" si="0"/>
        <v/>
      </c>
      <c r="AD6" s="109" t="str">
        <f t="shared" si="1"/>
        <v/>
      </c>
      <c r="AE6" s="110" t="str">
        <f t="shared" si="2"/>
        <v/>
      </c>
      <c r="AF6" s="95"/>
      <c r="AG6" s="108" t="str">
        <f t="shared" si="3"/>
        <v/>
      </c>
      <c r="AH6" s="111" t="str">
        <f>IF(AG6="","",IF(AG6&lt;1.05,IF(AG6&gt;0.95,"≈0","Too dilute"),IF(AA6="","",(AG6*AA6)-AA6)))</f>
        <v/>
      </c>
      <c r="AI6" s="96"/>
      <c r="AJ6" s="109" t="str">
        <f t="shared" si="4"/>
        <v/>
      </c>
      <c r="AK6" s="110" t="str">
        <f t="shared" si="5"/>
        <v/>
      </c>
      <c r="AL6" s="109" t="str">
        <f>IF(AJ6="","",AN$2-AN$3-AJ6)</f>
        <v/>
      </c>
      <c r="AM6" s="149"/>
      <c r="AO6" s="68"/>
      <c r="AP6" s="154" t="str">
        <f>B6</f>
        <v>pIG001</v>
      </c>
      <c r="AQ6" s="154">
        <f>C6</f>
        <v>0</v>
      </c>
      <c r="AR6" s="155">
        <f>T6</f>
        <v>0</v>
      </c>
      <c r="AS6" s="153">
        <f>U6</f>
        <v>0</v>
      </c>
      <c r="AT6" s="118">
        <f>R6</f>
        <v>0</v>
      </c>
    </row>
    <row r="7" spans="1:47" s="59" customFormat="1" ht="14.4" x14ac:dyDescent="0.55000000000000004">
      <c r="A7" s="69"/>
      <c r="B7" s="170" t="s">
        <v>482</v>
      </c>
      <c r="C7" s="94"/>
      <c r="D7" s="71"/>
      <c r="E7" s="70"/>
      <c r="F7" s="70"/>
      <c r="G7" s="70"/>
      <c r="H7" s="59" t="s">
        <v>33</v>
      </c>
      <c r="I7" s="88"/>
      <c r="J7" s="88"/>
      <c r="K7" s="88"/>
      <c r="L7" s="88"/>
      <c r="M7" s="88"/>
      <c r="N7" s="88"/>
      <c r="O7" s="88"/>
      <c r="P7" s="88"/>
      <c r="Q7" s="61"/>
      <c r="R7" s="73"/>
      <c r="S7" s="65" t="e">
        <f t="shared" ref="S7:S70" ca="1" si="8">digest(X7,"NotI")</f>
        <v>#NAME?</v>
      </c>
      <c r="T7" s="74"/>
      <c r="U7" s="74"/>
      <c r="V7" s="113" t="str">
        <f t="shared" si="6"/>
        <v>pIG002  ()</v>
      </c>
      <c r="X7" s="98"/>
      <c r="Y7" s="128">
        <f t="shared" si="7"/>
        <v>0</v>
      </c>
      <c r="Z7" s="131"/>
      <c r="AA7" s="107"/>
      <c r="AB7" s="107"/>
      <c r="AC7" s="108" t="str">
        <f t="shared" si="0"/>
        <v/>
      </c>
      <c r="AD7" s="109" t="str">
        <f t="shared" si="1"/>
        <v/>
      </c>
      <c r="AE7" s="110" t="str">
        <f t="shared" si="2"/>
        <v/>
      </c>
      <c r="AF7" s="95"/>
      <c r="AG7" s="108" t="str">
        <f t="shared" si="3"/>
        <v/>
      </c>
      <c r="AH7" s="111" t="str">
        <f t="shared" ref="AH7:AH70" si="9">IF(AG7="","",IF(AG7&lt;1.05,IF(AG7&gt;0.95,"≈0","Too dilute"),IF(AA7="","",(AG7*AA7)-AA7)))</f>
        <v/>
      </c>
      <c r="AI7" s="96"/>
      <c r="AJ7" s="109" t="str">
        <f t="shared" si="4"/>
        <v/>
      </c>
      <c r="AK7" s="110" t="str">
        <f t="shared" si="5"/>
        <v/>
      </c>
      <c r="AL7" s="109" t="str">
        <f t="shared" ref="AL7:AL27" si="10">IF(AJ7="","",AN$2-AN$3-AJ7)</f>
        <v/>
      </c>
      <c r="AM7" s="149"/>
      <c r="AO7" s="68"/>
      <c r="AP7" s="154" t="str">
        <f t="shared" ref="AP7:AP70" si="11">B7</f>
        <v>pIG002</v>
      </c>
      <c r="AQ7" s="154">
        <f t="shared" ref="AQ7:AQ70" si="12">C7</f>
        <v>0</v>
      </c>
      <c r="AR7" s="155">
        <f t="shared" ref="AR7:AR70" si="13">T7</f>
        <v>0</v>
      </c>
      <c r="AS7" s="153">
        <f t="shared" ref="AS7:AS70" si="14">U7</f>
        <v>0</v>
      </c>
      <c r="AT7" s="118">
        <f t="shared" ref="AT7:AT70" si="15">R7</f>
        <v>0</v>
      </c>
    </row>
    <row r="8" spans="1:47" s="59" customFormat="1" ht="14.4" x14ac:dyDescent="0.55000000000000004">
      <c r="A8" s="69"/>
      <c r="B8" s="170" t="s">
        <v>483</v>
      </c>
      <c r="C8" s="18"/>
      <c r="D8" s="71"/>
      <c r="E8" s="75"/>
      <c r="F8" s="70"/>
      <c r="G8" s="70"/>
      <c r="H8" s="59" t="s">
        <v>33</v>
      </c>
      <c r="I8" s="88"/>
      <c r="J8" s="88"/>
      <c r="K8" s="88"/>
      <c r="L8" s="88"/>
      <c r="M8" s="88"/>
      <c r="N8" s="88"/>
      <c r="O8" s="88"/>
      <c r="P8" s="88"/>
      <c r="Q8" s="61"/>
      <c r="R8" s="73"/>
      <c r="S8" s="65" t="e">
        <f t="shared" ca="1" si="8"/>
        <v>#NAME?</v>
      </c>
      <c r="T8" s="112"/>
      <c r="U8" s="74"/>
      <c r="V8" s="113" t="str">
        <f t="shared" si="6"/>
        <v>pIG003  ()</v>
      </c>
      <c r="X8" s="98"/>
      <c r="Y8" s="128">
        <f t="shared" si="7"/>
        <v>0</v>
      </c>
      <c r="Z8" s="131"/>
      <c r="AA8" s="107"/>
      <c r="AB8" s="107"/>
      <c r="AC8" s="108" t="str">
        <f t="shared" si="0"/>
        <v/>
      </c>
      <c r="AD8" s="109" t="str">
        <f t="shared" si="1"/>
        <v/>
      </c>
      <c r="AE8" s="110" t="str">
        <f t="shared" si="2"/>
        <v/>
      </c>
      <c r="AF8" s="95"/>
      <c r="AG8" s="108" t="str">
        <f t="shared" si="3"/>
        <v/>
      </c>
      <c r="AH8" s="111" t="str">
        <f t="shared" si="9"/>
        <v/>
      </c>
      <c r="AI8" s="96"/>
      <c r="AJ8" s="109" t="str">
        <f t="shared" si="4"/>
        <v/>
      </c>
      <c r="AK8" s="110" t="str">
        <f t="shared" si="5"/>
        <v/>
      </c>
      <c r="AL8" s="109" t="str">
        <f t="shared" si="10"/>
        <v/>
      </c>
      <c r="AM8" s="149"/>
      <c r="AO8" s="68"/>
      <c r="AP8" s="154" t="str">
        <f t="shared" si="11"/>
        <v>pIG003</v>
      </c>
      <c r="AQ8" s="154">
        <f t="shared" si="12"/>
        <v>0</v>
      </c>
      <c r="AR8" s="155">
        <f t="shared" si="13"/>
        <v>0</v>
      </c>
      <c r="AS8" s="153">
        <f t="shared" si="14"/>
        <v>0</v>
      </c>
      <c r="AT8" s="118">
        <f t="shared" si="15"/>
        <v>0</v>
      </c>
    </row>
    <row r="9" spans="1:47" s="59" customFormat="1" ht="14.4" x14ac:dyDescent="0.55000000000000004">
      <c r="A9" s="69"/>
      <c r="B9" s="170" t="s">
        <v>484</v>
      </c>
      <c r="C9" s="18"/>
      <c r="D9" s="71"/>
      <c r="E9" s="75"/>
      <c r="F9" s="70"/>
      <c r="G9" s="70"/>
      <c r="H9" s="59" t="s">
        <v>33</v>
      </c>
      <c r="I9" s="88"/>
      <c r="J9" s="88"/>
      <c r="K9" s="88"/>
      <c r="L9" s="88"/>
      <c r="M9" s="88"/>
      <c r="N9" s="88"/>
      <c r="O9" s="88"/>
      <c r="P9" s="88"/>
      <c r="Q9" s="61"/>
      <c r="R9" s="73"/>
      <c r="S9" s="65" t="e">
        <f t="shared" ca="1" si="8"/>
        <v>#NAME?</v>
      </c>
      <c r="T9" s="74"/>
      <c r="U9" s="74"/>
      <c r="V9" s="113" t="str">
        <f t="shared" si="6"/>
        <v>pIG004  ()</v>
      </c>
      <c r="X9" s="98"/>
      <c r="Y9" s="128">
        <f t="shared" si="7"/>
        <v>0</v>
      </c>
      <c r="Z9" s="131"/>
      <c r="AA9" s="107"/>
      <c r="AB9" s="107"/>
      <c r="AC9" s="108" t="str">
        <f t="shared" si="0"/>
        <v/>
      </c>
      <c r="AD9" s="109" t="str">
        <f t="shared" si="1"/>
        <v/>
      </c>
      <c r="AE9" s="110" t="str">
        <f t="shared" si="2"/>
        <v/>
      </c>
      <c r="AF9" s="95"/>
      <c r="AG9" s="108" t="str">
        <f t="shared" si="3"/>
        <v/>
      </c>
      <c r="AH9" s="111" t="str">
        <f t="shared" si="9"/>
        <v/>
      </c>
      <c r="AI9" s="96"/>
      <c r="AJ9" s="109" t="str">
        <f t="shared" si="4"/>
        <v/>
      </c>
      <c r="AK9" s="110" t="str">
        <f t="shared" si="5"/>
        <v/>
      </c>
      <c r="AL9" s="109" t="str">
        <f t="shared" si="10"/>
        <v/>
      </c>
      <c r="AM9" s="149"/>
      <c r="AO9" s="68"/>
      <c r="AP9" s="154" t="str">
        <f t="shared" si="11"/>
        <v>pIG004</v>
      </c>
      <c r="AQ9" s="154">
        <f t="shared" si="12"/>
        <v>0</v>
      </c>
      <c r="AR9" s="155">
        <f t="shared" si="13"/>
        <v>0</v>
      </c>
      <c r="AS9" s="153">
        <f t="shared" si="14"/>
        <v>0</v>
      </c>
      <c r="AT9" s="118">
        <f t="shared" si="15"/>
        <v>0</v>
      </c>
    </row>
    <row r="10" spans="1:47" s="59" customFormat="1" ht="14.4" x14ac:dyDescent="0.55000000000000004">
      <c r="A10" s="69"/>
      <c r="B10" s="170" t="s">
        <v>485</v>
      </c>
      <c r="C10" s="18"/>
      <c r="D10" s="71"/>
      <c r="E10" s="70"/>
      <c r="F10" s="70"/>
      <c r="G10" s="70"/>
      <c r="H10" s="59" t="s">
        <v>33</v>
      </c>
      <c r="I10" s="88"/>
      <c r="J10" s="88"/>
      <c r="K10" s="88"/>
      <c r="L10" s="88"/>
      <c r="M10" s="88"/>
      <c r="N10" s="88"/>
      <c r="O10" s="88"/>
      <c r="P10" s="88"/>
      <c r="Q10" s="61"/>
      <c r="R10" s="73"/>
      <c r="S10" s="65" t="e">
        <f t="shared" ca="1" si="8"/>
        <v>#NAME?</v>
      </c>
      <c r="T10" s="76"/>
      <c r="U10" s="74"/>
      <c r="V10" s="113" t="str">
        <f t="shared" si="6"/>
        <v>pIG005  ()</v>
      </c>
      <c r="X10" s="98"/>
      <c r="Y10" s="128">
        <f t="shared" si="7"/>
        <v>0</v>
      </c>
      <c r="Z10" s="131"/>
      <c r="AA10" s="107"/>
      <c r="AB10" s="107"/>
      <c r="AC10" s="108" t="str">
        <f t="shared" si="0"/>
        <v/>
      </c>
      <c r="AD10" s="109" t="str">
        <f t="shared" si="1"/>
        <v/>
      </c>
      <c r="AE10" s="110" t="str">
        <f t="shared" si="2"/>
        <v/>
      </c>
      <c r="AF10" s="95"/>
      <c r="AG10" s="108" t="str">
        <f t="shared" si="3"/>
        <v/>
      </c>
      <c r="AH10" s="111" t="str">
        <f t="shared" si="9"/>
        <v/>
      </c>
      <c r="AI10" s="96"/>
      <c r="AJ10" s="109" t="str">
        <f t="shared" si="4"/>
        <v/>
      </c>
      <c r="AK10" s="110" t="str">
        <f t="shared" si="5"/>
        <v/>
      </c>
      <c r="AL10" s="109" t="str">
        <f t="shared" si="10"/>
        <v/>
      </c>
      <c r="AM10" s="149"/>
      <c r="AO10" s="68"/>
      <c r="AP10" s="154" t="str">
        <f t="shared" si="11"/>
        <v>pIG005</v>
      </c>
      <c r="AQ10" s="154">
        <f t="shared" si="12"/>
        <v>0</v>
      </c>
      <c r="AR10" s="155">
        <f t="shared" si="13"/>
        <v>0</v>
      </c>
      <c r="AS10" s="153">
        <f t="shared" si="14"/>
        <v>0</v>
      </c>
      <c r="AT10" s="118">
        <f t="shared" si="15"/>
        <v>0</v>
      </c>
    </row>
    <row r="11" spans="1:47" s="59" customFormat="1" ht="14.4" x14ac:dyDescent="0.55000000000000004">
      <c r="A11" s="69"/>
      <c r="B11" s="170" t="s">
        <v>486</v>
      </c>
      <c r="C11" s="18"/>
      <c r="D11" s="71"/>
      <c r="E11" s="70"/>
      <c r="F11" s="70"/>
      <c r="G11" s="70"/>
      <c r="H11" s="59" t="s">
        <v>33</v>
      </c>
      <c r="I11" s="88"/>
      <c r="J11" s="88"/>
      <c r="K11" s="88"/>
      <c r="L11" s="88"/>
      <c r="M11" s="88"/>
      <c r="N11" s="88"/>
      <c r="O11" s="88"/>
      <c r="P11" s="88"/>
      <c r="Q11" s="61"/>
      <c r="R11" s="73"/>
      <c r="S11" s="65" t="e">
        <f t="shared" ca="1" si="8"/>
        <v>#NAME?</v>
      </c>
      <c r="T11" s="74"/>
      <c r="U11" s="74"/>
      <c r="V11" s="113" t="str">
        <f t="shared" si="6"/>
        <v>pIG006  ()</v>
      </c>
      <c r="X11" s="98"/>
      <c r="Y11" s="128">
        <f t="shared" si="7"/>
        <v>0</v>
      </c>
      <c r="Z11" s="131"/>
      <c r="AA11" s="107"/>
      <c r="AB11" s="107"/>
      <c r="AC11" s="108" t="str">
        <f t="shared" si="0"/>
        <v/>
      </c>
      <c r="AD11" s="109" t="str">
        <f t="shared" si="1"/>
        <v/>
      </c>
      <c r="AE11" s="110" t="str">
        <f t="shared" si="2"/>
        <v/>
      </c>
      <c r="AF11" s="95"/>
      <c r="AG11" s="108" t="str">
        <f t="shared" si="3"/>
        <v/>
      </c>
      <c r="AH11" s="111" t="str">
        <f t="shared" si="9"/>
        <v/>
      </c>
      <c r="AI11" s="96"/>
      <c r="AJ11" s="109" t="str">
        <f t="shared" si="4"/>
        <v/>
      </c>
      <c r="AK11" s="110" t="str">
        <f t="shared" si="5"/>
        <v/>
      </c>
      <c r="AL11" s="109" t="str">
        <f t="shared" si="10"/>
        <v/>
      </c>
      <c r="AM11" s="149"/>
      <c r="AO11" s="68"/>
      <c r="AP11" s="154" t="str">
        <f t="shared" si="11"/>
        <v>pIG006</v>
      </c>
      <c r="AQ11" s="154">
        <f t="shared" si="12"/>
        <v>0</v>
      </c>
      <c r="AR11" s="155">
        <f t="shared" si="13"/>
        <v>0</v>
      </c>
      <c r="AS11" s="153">
        <f t="shared" si="14"/>
        <v>0</v>
      </c>
      <c r="AT11" s="118">
        <f t="shared" si="15"/>
        <v>0</v>
      </c>
    </row>
    <row r="12" spans="1:47" s="59" customFormat="1" ht="14.4" x14ac:dyDescent="0.55000000000000004">
      <c r="A12" s="69"/>
      <c r="B12" s="170" t="s">
        <v>487</v>
      </c>
      <c r="C12" s="94"/>
      <c r="D12" s="71"/>
      <c r="E12" s="70"/>
      <c r="F12" s="70"/>
      <c r="G12" s="70"/>
      <c r="H12" s="59" t="s">
        <v>33</v>
      </c>
      <c r="I12" s="88"/>
      <c r="J12" s="88"/>
      <c r="K12" s="88"/>
      <c r="L12" s="88"/>
      <c r="M12" s="88"/>
      <c r="N12" s="88"/>
      <c r="O12" s="88"/>
      <c r="P12" s="88"/>
      <c r="Q12" s="61"/>
      <c r="R12" s="73"/>
      <c r="S12" s="65" t="e">
        <f t="shared" ca="1" si="8"/>
        <v>#NAME?</v>
      </c>
      <c r="T12" s="74"/>
      <c r="U12" s="74"/>
      <c r="V12" s="113" t="str">
        <f t="shared" si="6"/>
        <v>pIG007  ()</v>
      </c>
      <c r="X12" s="98"/>
      <c r="Y12" s="128">
        <f t="shared" si="7"/>
        <v>0</v>
      </c>
      <c r="Z12" s="131"/>
      <c r="AA12" s="107"/>
      <c r="AB12" s="107"/>
      <c r="AC12" s="108" t="str">
        <f t="shared" si="0"/>
        <v/>
      </c>
      <c r="AD12" s="109" t="str">
        <f t="shared" si="1"/>
        <v/>
      </c>
      <c r="AE12" s="110" t="str">
        <f t="shared" si="2"/>
        <v/>
      </c>
      <c r="AF12" s="95"/>
      <c r="AG12" s="108" t="str">
        <f t="shared" si="3"/>
        <v/>
      </c>
      <c r="AH12" s="111" t="str">
        <f t="shared" si="9"/>
        <v/>
      </c>
      <c r="AI12" s="96"/>
      <c r="AJ12" s="109" t="str">
        <f t="shared" si="4"/>
        <v/>
      </c>
      <c r="AK12" s="110" t="str">
        <f t="shared" si="5"/>
        <v/>
      </c>
      <c r="AL12" s="109" t="str">
        <f t="shared" si="10"/>
        <v/>
      </c>
      <c r="AM12" s="149"/>
      <c r="AO12" s="68"/>
      <c r="AP12" s="154" t="str">
        <f t="shared" si="11"/>
        <v>pIG007</v>
      </c>
      <c r="AQ12" s="154">
        <f t="shared" si="12"/>
        <v>0</v>
      </c>
      <c r="AR12" s="155">
        <f t="shared" si="13"/>
        <v>0</v>
      </c>
      <c r="AS12" s="153">
        <f t="shared" si="14"/>
        <v>0</v>
      </c>
      <c r="AT12" s="118">
        <f t="shared" si="15"/>
        <v>0</v>
      </c>
    </row>
    <row r="13" spans="1:47" s="59" customFormat="1" ht="14.4" x14ac:dyDescent="0.55000000000000004">
      <c r="A13" s="69"/>
      <c r="B13" s="170" t="s">
        <v>488</v>
      </c>
      <c r="C13" s="18"/>
      <c r="D13" s="71"/>
      <c r="E13" s="75"/>
      <c r="F13" s="70"/>
      <c r="G13" s="70"/>
      <c r="H13" s="59" t="s">
        <v>33</v>
      </c>
      <c r="I13" s="88"/>
      <c r="J13" s="88"/>
      <c r="K13" s="88"/>
      <c r="L13" s="88"/>
      <c r="M13" s="88"/>
      <c r="N13" s="88"/>
      <c r="O13" s="88"/>
      <c r="P13" s="88"/>
      <c r="Q13" s="61"/>
      <c r="R13" s="73"/>
      <c r="S13" s="65" t="e">
        <f t="shared" ca="1" si="8"/>
        <v>#NAME?</v>
      </c>
      <c r="T13" s="74"/>
      <c r="U13" s="74"/>
      <c r="V13" s="113" t="str">
        <f t="shared" si="6"/>
        <v>pIG008  ()</v>
      </c>
      <c r="X13" s="98"/>
      <c r="Y13" s="128">
        <f t="shared" si="7"/>
        <v>0</v>
      </c>
      <c r="Z13" s="131"/>
      <c r="AA13" s="107"/>
      <c r="AB13" s="107"/>
      <c r="AC13" s="108" t="str">
        <f t="shared" si="0"/>
        <v/>
      </c>
      <c r="AD13" s="109" t="str">
        <f t="shared" si="1"/>
        <v/>
      </c>
      <c r="AE13" s="110" t="str">
        <f t="shared" si="2"/>
        <v/>
      </c>
      <c r="AF13" s="95"/>
      <c r="AG13" s="108" t="str">
        <f t="shared" si="3"/>
        <v/>
      </c>
      <c r="AH13" s="111" t="str">
        <f t="shared" si="9"/>
        <v/>
      </c>
      <c r="AI13" s="96"/>
      <c r="AJ13" s="109" t="str">
        <f t="shared" si="4"/>
        <v/>
      </c>
      <c r="AK13" s="110" t="str">
        <f t="shared" si="5"/>
        <v/>
      </c>
      <c r="AL13" s="109" t="str">
        <f t="shared" si="10"/>
        <v/>
      </c>
      <c r="AM13" s="149"/>
      <c r="AO13" s="68"/>
      <c r="AP13" s="154" t="str">
        <f t="shared" si="11"/>
        <v>pIG008</v>
      </c>
      <c r="AQ13" s="154">
        <f t="shared" si="12"/>
        <v>0</v>
      </c>
      <c r="AR13" s="155">
        <f t="shared" si="13"/>
        <v>0</v>
      </c>
      <c r="AS13" s="153">
        <f t="shared" si="14"/>
        <v>0</v>
      </c>
      <c r="AT13" s="118">
        <f t="shared" si="15"/>
        <v>0</v>
      </c>
    </row>
    <row r="14" spans="1:47" s="59" customFormat="1" ht="14.4" x14ac:dyDescent="0.55000000000000004">
      <c r="A14" s="69"/>
      <c r="B14" s="170" t="s">
        <v>489</v>
      </c>
      <c r="C14" s="18"/>
      <c r="D14" s="71"/>
      <c r="E14" s="75"/>
      <c r="F14" s="70"/>
      <c r="G14" s="70"/>
      <c r="H14" s="59" t="s">
        <v>33</v>
      </c>
      <c r="I14" s="88"/>
      <c r="J14" s="88"/>
      <c r="K14" s="88"/>
      <c r="L14" s="88"/>
      <c r="M14" s="88"/>
      <c r="N14" s="88"/>
      <c r="O14" s="88"/>
      <c r="P14" s="88"/>
      <c r="Q14" s="61"/>
      <c r="R14" s="73"/>
      <c r="S14" s="65" t="e">
        <f t="shared" ca="1" si="8"/>
        <v>#NAME?</v>
      </c>
      <c r="T14" s="74"/>
      <c r="U14" s="74"/>
      <c r="V14" s="113" t="str">
        <f t="shared" si="6"/>
        <v>pIG009  ()</v>
      </c>
      <c r="X14" s="98"/>
      <c r="Y14" s="128">
        <f t="shared" si="7"/>
        <v>0</v>
      </c>
      <c r="Z14" s="131"/>
      <c r="AA14" s="107"/>
      <c r="AB14" s="107"/>
      <c r="AC14" s="108" t="str">
        <f t="shared" si="0"/>
        <v/>
      </c>
      <c r="AD14" s="109" t="str">
        <f t="shared" si="1"/>
        <v/>
      </c>
      <c r="AE14" s="110" t="str">
        <f t="shared" si="2"/>
        <v/>
      </c>
      <c r="AF14" s="95"/>
      <c r="AG14" s="108" t="str">
        <f t="shared" si="3"/>
        <v/>
      </c>
      <c r="AH14" s="111" t="str">
        <f t="shared" si="9"/>
        <v/>
      </c>
      <c r="AI14" s="96"/>
      <c r="AJ14" s="109" t="str">
        <f t="shared" si="4"/>
        <v/>
      </c>
      <c r="AK14" s="110" t="str">
        <f t="shared" si="5"/>
        <v/>
      </c>
      <c r="AL14" s="109" t="str">
        <f t="shared" si="10"/>
        <v/>
      </c>
      <c r="AM14" s="149"/>
      <c r="AO14" s="68"/>
      <c r="AP14" s="154" t="str">
        <f t="shared" si="11"/>
        <v>pIG009</v>
      </c>
      <c r="AQ14" s="154">
        <f t="shared" si="12"/>
        <v>0</v>
      </c>
      <c r="AR14" s="155">
        <f t="shared" si="13"/>
        <v>0</v>
      </c>
      <c r="AS14" s="153">
        <f t="shared" si="14"/>
        <v>0</v>
      </c>
      <c r="AT14" s="118">
        <f t="shared" si="15"/>
        <v>0</v>
      </c>
    </row>
    <row r="15" spans="1:47" s="59" customFormat="1" ht="14.4" x14ac:dyDescent="0.55000000000000004">
      <c r="A15" s="69"/>
      <c r="B15" s="170" t="s">
        <v>490</v>
      </c>
      <c r="C15" s="18"/>
      <c r="D15" s="71"/>
      <c r="E15" s="70"/>
      <c r="F15" s="70"/>
      <c r="G15" s="70"/>
      <c r="H15" s="59" t="s">
        <v>33</v>
      </c>
      <c r="I15" s="88"/>
      <c r="J15" s="88"/>
      <c r="K15" s="88"/>
      <c r="L15" s="88"/>
      <c r="M15" s="88"/>
      <c r="N15" s="88"/>
      <c r="O15" s="88"/>
      <c r="P15" s="88"/>
      <c r="Q15" s="61"/>
      <c r="R15" s="73"/>
      <c r="S15" s="65" t="e">
        <f t="shared" ca="1" si="8"/>
        <v>#NAME?</v>
      </c>
      <c r="T15" s="74"/>
      <c r="U15" s="74"/>
      <c r="V15" s="113" t="str">
        <f t="shared" si="6"/>
        <v>pIG010  ()</v>
      </c>
      <c r="X15" s="98"/>
      <c r="Y15" s="128">
        <f t="shared" si="7"/>
        <v>0</v>
      </c>
      <c r="Z15" s="131"/>
      <c r="AA15" s="107"/>
      <c r="AB15" s="107"/>
      <c r="AC15" s="108" t="str">
        <f t="shared" si="0"/>
        <v/>
      </c>
      <c r="AD15" s="109" t="str">
        <f t="shared" si="1"/>
        <v/>
      </c>
      <c r="AE15" s="110" t="str">
        <f t="shared" si="2"/>
        <v/>
      </c>
      <c r="AF15" s="95"/>
      <c r="AG15" s="108" t="str">
        <f t="shared" si="3"/>
        <v/>
      </c>
      <c r="AH15" s="111" t="str">
        <f t="shared" si="9"/>
        <v/>
      </c>
      <c r="AI15" s="96"/>
      <c r="AJ15" s="109" t="str">
        <f t="shared" si="4"/>
        <v/>
      </c>
      <c r="AK15" s="110" t="str">
        <f t="shared" si="5"/>
        <v/>
      </c>
      <c r="AL15" s="109" t="str">
        <f t="shared" si="10"/>
        <v/>
      </c>
      <c r="AM15" s="149"/>
      <c r="AO15" s="68"/>
      <c r="AP15" s="154" t="str">
        <f t="shared" si="11"/>
        <v>pIG010</v>
      </c>
      <c r="AQ15" s="154">
        <f t="shared" si="12"/>
        <v>0</v>
      </c>
      <c r="AR15" s="155">
        <f t="shared" si="13"/>
        <v>0</v>
      </c>
      <c r="AS15" s="153">
        <f t="shared" si="14"/>
        <v>0</v>
      </c>
      <c r="AT15" s="118">
        <f t="shared" si="15"/>
        <v>0</v>
      </c>
    </row>
    <row r="16" spans="1:47" s="59" customFormat="1" ht="14.4" x14ac:dyDescent="0.55000000000000004">
      <c r="A16" s="69"/>
      <c r="B16" s="170" t="s">
        <v>491</v>
      </c>
      <c r="C16" s="18"/>
      <c r="D16" s="71"/>
      <c r="E16" s="75"/>
      <c r="F16" s="70"/>
      <c r="G16" s="70"/>
      <c r="H16" s="59" t="s">
        <v>33</v>
      </c>
      <c r="I16" s="88"/>
      <c r="J16" s="88"/>
      <c r="K16" s="88"/>
      <c r="L16" s="88"/>
      <c r="M16" s="88"/>
      <c r="N16" s="88"/>
      <c r="O16" s="88"/>
      <c r="P16" s="88"/>
      <c r="Q16" s="61"/>
      <c r="R16" s="73"/>
      <c r="S16" s="65" t="e">
        <f t="shared" ca="1" si="8"/>
        <v>#NAME?</v>
      </c>
      <c r="T16" s="74"/>
      <c r="U16" s="74"/>
      <c r="V16" s="113" t="str">
        <f t="shared" si="6"/>
        <v>pIG011  ()</v>
      </c>
      <c r="X16" s="98"/>
      <c r="Y16" s="128">
        <f t="shared" si="7"/>
        <v>0</v>
      </c>
      <c r="Z16" s="131"/>
      <c r="AA16" s="107"/>
      <c r="AB16" s="107"/>
      <c r="AC16" s="108" t="str">
        <f t="shared" si="0"/>
        <v/>
      </c>
      <c r="AD16" s="109" t="str">
        <f t="shared" si="1"/>
        <v/>
      </c>
      <c r="AE16" s="110" t="str">
        <f t="shared" si="2"/>
        <v/>
      </c>
      <c r="AF16" s="95"/>
      <c r="AG16" s="108" t="str">
        <f t="shared" si="3"/>
        <v/>
      </c>
      <c r="AH16" s="111" t="str">
        <f t="shared" si="9"/>
        <v/>
      </c>
      <c r="AI16" s="96"/>
      <c r="AJ16" s="109" t="str">
        <f t="shared" si="4"/>
        <v/>
      </c>
      <c r="AK16" s="110" t="str">
        <f t="shared" si="5"/>
        <v/>
      </c>
      <c r="AL16" s="109" t="str">
        <f t="shared" si="10"/>
        <v/>
      </c>
      <c r="AM16" s="149"/>
      <c r="AO16" s="68"/>
      <c r="AP16" s="154" t="str">
        <f t="shared" si="11"/>
        <v>pIG011</v>
      </c>
      <c r="AQ16" s="154">
        <f t="shared" si="12"/>
        <v>0</v>
      </c>
      <c r="AR16" s="155">
        <f t="shared" si="13"/>
        <v>0</v>
      </c>
      <c r="AS16" s="153">
        <f t="shared" si="14"/>
        <v>0</v>
      </c>
      <c r="AT16" s="118">
        <f t="shared" si="15"/>
        <v>0</v>
      </c>
    </row>
    <row r="17" spans="1:46" s="59" customFormat="1" ht="14.4" x14ac:dyDescent="0.55000000000000004">
      <c r="A17" s="69"/>
      <c r="B17" s="170" t="s">
        <v>492</v>
      </c>
      <c r="C17" s="77"/>
      <c r="D17" s="71"/>
      <c r="E17" s="89"/>
      <c r="F17" s="70"/>
      <c r="G17" s="70"/>
      <c r="H17" s="59" t="s">
        <v>33</v>
      </c>
      <c r="I17" s="88"/>
      <c r="J17" s="88"/>
      <c r="K17" s="88"/>
      <c r="L17" s="88"/>
      <c r="M17" s="88"/>
      <c r="N17" s="88"/>
      <c r="O17" s="88"/>
      <c r="P17" s="88"/>
      <c r="Q17" s="61"/>
      <c r="R17" s="73"/>
      <c r="S17" s="65" t="e">
        <f t="shared" ca="1" si="8"/>
        <v>#NAME?</v>
      </c>
      <c r="T17" s="76"/>
      <c r="U17" s="74"/>
      <c r="V17" s="113" t="str">
        <f t="shared" si="6"/>
        <v>pIG012  ()</v>
      </c>
      <c r="X17" s="98"/>
      <c r="Y17" s="128">
        <f t="shared" si="7"/>
        <v>0</v>
      </c>
      <c r="Z17" s="131"/>
      <c r="AA17" s="107"/>
      <c r="AB17" s="107"/>
      <c r="AC17" s="108" t="str">
        <f t="shared" si="0"/>
        <v/>
      </c>
      <c r="AD17" s="109" t="str">
        <f t="shared" si="1"/>
        <v/>
      </c>
      <c r="AE17" s="110" t="str">
        <f t="shared" si="2"/>
        <v/>
      </c>
      <c r="AF17" s="95"/>
      <c r="AG17" s="108" t="str">
        <f t="shared" si="3"/>
        <v/>
      </c>
      <c r="AH17" s="111" t="str">
        <f t="shared" si="9"/>
        <v/>
      </c>
      <c r="AI17" s="96"/>
      <c r="AJ17" s="109" t="str">
        <f t="shared" si="4"/>
        <v/>
      </c>
      <c r="AK17" s="110" t="str">
        <f t="shared" si="5"/>
        <v/>
      </c>
      <c r="AL17" s="109" t="str">
        <f t="shared" si="10"/>
        <v/>
      </c>
      <c r="AM17" s="149"/>
      <c r="AO17" s="68"/>
      <c r="AP17" s="154" t="str">
        <f t="shared" si="11"/>
        <v>pIG012</v>
      </c>
      <c r="AQ17" s="154">
        <f t="shared" si="12"/>
        <v>0</v>
      </c>
      <c r="AR17" s="155">
        <f t="shared" si="13"/>
        <v>0</v>
      </c>
      <c r="AS17" s="153">
        <f t="shared" si="14"/>
        <v>0</v>
      </c>
      <c r="AT17" s="118">
        <f t="shared" si="15"/>
        <v>0</v>
      </c>
    </row>
    <row r="18" spans="1:46" s="59" customFormat="1" ht="14.4" x14ac:dyDescent="0.55000000000000004">
      <c r="A18" s="78"/>
      <c r="B18" s="170" t="s">
        <v>493</v>
      </c>
      <c r="C18" s="70"/>
      <c r="D18" s="71"/>
      <c r="E18" s="89"/>
      <c r="F18" s="70"/>
      <c r="G18" s="70"/>
      <c r="H18" s="59" t="s">
        <v>33</v>
      </c>
      <c r="I18" s="88"/>
      <c r="J18" s="88"/>
      <c r="K18" s="88"/>
      <c r="L18" s="88"/>
      <c r="M18" s="88"/>
      <c r="N18" s="88"/>
      <c r="O18" s="88"/>
      <c r="P18" s="88"/>
      <c r="Q18" s="61"/>
      <c r="R18" s="73"/>
      <c r="S18" s="65" t="e">
        <f t="shared" ca="1" si="8"/>
        <v>#NAME?</v>
      </c>
      <c r="T18" s="74"/>
      <c r="U18" s="74"/>
      <c r="V18" s="113" t="str">
        <f t="shared" si="6"/>
        <v>pIG013  ()</v>
      </c>
      <c r="X18" s="98"/>
      <c r="Y18" s="128">
        <f t="shared" si="7"/>
        <v>0</v>
      </c>
      <c r="Z18" s="131"/>
      <c r="AA18" s="107"/>
      <c r="AB18" s="107"/>
      <c r="AC18" s="108" t="str">
        <f t="shared" si="0"/>
        <v/>
      </c>
      <c r="AD18" s="109" t="str">
        <f t="shared" si="1"/>
        <v/>
      </c>
      <c r="AE18" s="110" t="str">
        <f t="shared" si="2"/>
        <v/>
      </c>
      <c r="AF18" s="95"/>
      <c r="AG18" s="108" t="str">
        <f t="shared" si="3"/>
        <v/>
      </c>
      <c r="AH18" s="111" t="str">
        <f t="shared" si="9"/>
        <v/>
      </c>
      <c r="AI18" s="96"/>
      <c r="AJ18" s="109" t="str">
        <f t="shared" si="4"/>
        <v/>
      </c>
      <c r="AK18" s="110" t="str">
        <f t="shared" si="5"/>
        <v/>
      </c>
      <c r="AL18" s="109" t="str">
        <f t="shared" si="10"/>
        <v/>
      </c>
      <c r="AM18" s="149"/>
      <c r="AO18" s="68"/>
      <c r="AP18" s="154" t="str">
        <f t="shared" si="11"/>
        <v>pIG013</v>
      </c>
      <c r="AQ18" s="154">
        <f t="shared" si="12"/>
        <v>0</v>
      </c>
      <c r="AR18" s="155">
        <f t="shared" si="13"/>
        <v>0</v>
      </c>
      <c r="AS18" s="153">
        <f t="shared" si="14"/>
        <v>0</v>
      </c>
      <c r="AT18" s="118">
        <f t="shared" si="15"/>
        <v>0</v>
      </c>
    </row>
    <row r="19" spans="1:46" s="59" customFormat="1" ht="14.4" x14ac:dyDescent="0.55000000000000004">
      <c r="A19" s="78"/>
      <c r="B19" s="170" t="s">
        <v>494</v>
      </c>
      <c r="C19" s="94"/>
      <c r="D19" s="71"/>
      <c r="E19" s="89"/>
      <c r="F19" s="70"/>
      <c r="G19" s="70"/>
      <c r="H19" s="59" t="s">
        <v>33</v>
      </c>
      <c r="I19" s="88"/>
      <c r="J19" s="88"/>
      <c r="K19" s="88"/>
      <c r="L19" s="88"/>
      <c r="M19" s="88"/>
      <c r="N19" s="88"/>
      <c r="O19" s="88"/>
      <c r="P19" s="88"/>
      <c r="Q19" s="61"/>
      <c r="R19" s="73"/>
      <c r="S19" s="65" t="e">
        <f t="shared" ca="1" si="8"/>
        <v>#NAME?</v>
      </c>
      <c r="T19" s="74"/>
      <c r="U19" s="74"/>
      <c r="V19" s="113" t="str">
        <f t="shared" si="6"/>
        <v>pIG014  ()</v>
      </c>
      <c r="X19" s="98"/>
      <c r="Y19" s="128">
        <f t="shared" si="7"/>
        <v>0</v>
      </c>
      <c r="Z19" s="131"/>
      <c r="AA19" s="107"/>
      <c r="AB19" s="107"/>
      <c r="AC19" s="108" t="str">
        <f t="shared" si="0"/>
        <v/>
      </c>
      <c r="AD19" s="109" t="str">
        <f t="shared" si="1"/>
        <v/>
      </c>
      <c r="AE19" s="110" t="str">
        <f t="shared" si="2"/>
        <v/>
      </c>
      <c r="AF19" s="95"/>
      <c r="AG19" s="108" t="str">
        <f t="shared" si="3"/>
        <v/>
      </c>
      <c r="AH19" s="111" t="str">
        <f t="shared" si="9"/>
        <v/>
      </c>
      <c r="AI19" s="96"/>
      <c r="AJ19" s="109" t="str">
        <f t="shared" si="4"/>
        <v/>
      </c>
      <c r="AK19" s="110" t="str">
        <f t="shared" si="5"/>
        <v/>
      </c>
      <c r="AL19" s="109" t="str">
        <f t="shared" si="10"/>
        <v/>
      </c>
      <c r="AM19" s="149"/>
      <c r="AO19" s="68"/>
      <c r="AP19" s="154" t="str">
        <f t="shared" si="11"/>
        <v>pIG014</v>
      </c>
      <c r="AQ19" s="154">
        <f t="shared" si="12"/>
        <v>0</v>
      </c>
      <c r="AR19" s="155">
        <f t="shared" si="13"/>
        <v>0</v>
      </c>
      <c r="AS19" s="153">
        <f t="shared" si="14"/>
        <v>0</v>
      </c>
      <c r="AT19" s="118">
        <f t="shared" si="15"/>
        <v>0</v>
      </c>
    </row>
    <row r="20" spans="1:46" s="59" customFormat="1" ht="14.4" x14ac:dyDescent="0.55000000000000004">
      <c r="A20" s="78"/>
      <c r="B20" s="170" t="s">
        <v>495</v>
      </c>
      <c r="C20" s="70"/>
      <c r="D20" s="71"/>
      <c r="E20" s="89"/>
      <c r="F20" s="70"/>
      <c r="G20" s="70"/>
      <c r="H20" s="59" t="s">
        <v>33</v>
      </c>
      <c r="I20" s="88"/>
      <c r="J20" s="88"/>
      <c r="K20" s="88"/>
      <c r="L20" s="88"/>
      <c r="M20" s="88"/>
      <c r="N20" s="88"/>
      <c r="O20" s="88"/>
      <c r="P20" s="88"/>
      <c r="Q20" s="61"/>
      <c r="R20" s="73"/>
      <c r="S20" s="65" t="e">
        <f t="shared" ca="1" si="8"/>
        <v>#NAME?</v>
      </c>
      <c r="T20" s="76"/>
      <c r="U20" s="74"/>
      <c r="V20" s="113" t="str">
        <f t="shared" si="6"/>
        <v>pIG015  ()</v>
      </c>
      <c r="X20" s="98"/>
      <c r="Y20" s="128">
        <f t="shared" si="7"/>
        <v>0</v>
      </c>
      <c r="Z20" s="131"/>
      <c r="AA20" s="107"/>
      <c r="AB20" s="107"/>
      <c r="AC20" s="108" t="str">
        <f t="shared" si="0"/>
        <v/>
      </c>
      <c r="AD20" s="109" t="str">
        <f t="shared" si="1"/>
        <v/>
      </c>
      <c r="AE20" s="110" t="str">
        <f t="shared" si="2"/>
        <v/>
      </c>
      <c r="AF20" s="95"/>
      <c r="AG20" s="108" t="str">
        <f t="shared" si="3"/>
        <v/>
      </c>
      <c r="AH20" s="111" t="str">
        <f t="shared" si="9"/>
        <v/>
      </c>
      <c r="AI20" s="96"/>
      <c r="AJ20" s="109" t="str">
        <f t="shared" si="4"/>
        <v/>
      </c>
      <c r="AK20" s="110" t="str">
        <f t="shared" si="5"/>
        <v/>
      </c>
      <c r="AL20" s="109" t="str">
        <f t="shared" si="10"/>
        <v/>
      </c>
      <c r="AM20" s="149"/>
      <c r="AO20" s="68"/>
      <c r="AP20" s="154" t="str">
        <f t="shared" si="11"/>
        <v>pIG015</v>
      </c>
      <c r="AQ20" s="154">
        <f t="shared" si="12"/>
        <v>0</v>
      </c>
      <c r="AR20" s="155">
        <f t="shared" si="13"/>
        <v>0</v>
      </c>
      <c r="AS20" s="153">
        <f t="shared" si="14"/>
        <v>0</v>
      </c>
      <c r="AT20" s="118">
        <f t="shared" si="15"/>
        <v>0</v>
      </c>
    </row>
    <row r="21" spans="1:46" s="59" customFormat="1" ht="14.4" x14ac:dyDescent="0.55000000000000004">
      <c r="A21" s="78"/>
      <c r="B21" s="170" t="s">
        <v>496</v>
      </c>
      <c r="C21" s="94"/>
      <c r="D21" s="71"/>
      <c r="E21" s="70"/>
      <c r="F21" s="70"/>
      <c r="G21" s="70"/>
      <c r="H21" s="59" t="s">
        <v>33</v>
      </c>
      <c r="I21" s="88"/>
      <c r="J21" s="88"/>
      <c r="K21" s="88"/>
      <c r="L21" s="88"/>
      <c r="M21" s="88"/>
      <c r="N21" s="88"/>
      <c r="O21" s="88"/>
      <c r="P21" s="88"/>
      <c r="Q21" s="61"/>
      <c r="R21" s="73"/>
      <c r="S21" s="65" t="e">
        <f t="shared" ca="1" si="8"/>
        <v>#NAME?</v>
      </c>
      <c r="T21" s="76"/>
      <c r="U21" s="74"/>
      <c r="V21" s="113" t="str">
        <f t="shared" si="6"/>
        <v>pIG016  ()</v>
      </c>
      <c r="X21" s="98"/>
      <c r="Y21" s="128">
        <f t="shared" si="7"/>
        <v>0</v>
      </c>
      <c r="Z21" s="131"/>
      <c r="AA21" s="107"/>
      <c r="AB21" s="107"/>
      <c r="AC21" s="108" t="str">
        <f t="shared" ref="AC21:AC84" si="16">IF($AB21="",IF(OR($Y21="",$Z21=""),"",($Z21*10^-9/10^-6)/($Y21*615.88)*10^9),$AB21)</f>
        <v/>
      </c>
      <c r="AD21" s="109" t="str">
        <f t="shared" si="1"/>
        <v/>
      </c>
      <c r="AE21" s="110" t="str">
        <f t="shared" si="2"/>
        <v/>
      </c>
      <c r="AF21" s="95"/>
      <c r="AG21" s="108" t="str">
        <f t="shared" si="3"/>
        <v/>
      </c>
      <c r="AH21" s="111" t="str">
        <f t="shared" si="9"/>
        <v/>
      </c>
      <c r="AI21" s="96"/>
      <c r="AJ21" s="109" t="str">
        <f t="shared" si="4"/>
        <v/>
      </c>
      <c r="AK21" s="110" t="str">
        <f t="shared" si="5"/>
        <v/>
      </c>
      <c r="AL21" s="109" t="str">
        <f t="shared" si="10"/>
        <v/>
      </c>
      <c r="AM21" s="149"/>
      <c r="AO21" s="68"/>
      <c r="AP21" s="154" t="str">
        <f t="shared" si="11"/>
        <v>pIG016</v>
      </c>
      <c r="AQ21" s="154">
        <f t="shared" si="12"/>
        <v>0</v>
      </c>
      <c r="AR21" s="155">
        <f t="shared" si="13"/>
        <v>0</v>
      </c>
      <c r="AS21" s="153">
        <f t="shared" si="14"/>
        <v>0</v>
      </c>
      <c r="AT21" s="118">
        <f t="shared" si="15"/>
        <v>0</v>
      </c>
    </row>
    <row r="22" spans="1:46" s="59" customFormat="1" ht="14.4" x14ac:dyDescent="0.55000000000000004">
      <c r="A22" s="78"/>
      <c r="B22" s="170" t="s">
        <v>497</v>
      </c>
      <c r="C22" s="70"/>
      <c r="D22" s="79"/>
      <c r="E22" s="94"/>
      <c r="F22" s="70"/>
      <c r="G22" s="94"/>
      <c r="H22" s="59" t="s">
        <v>33</v>
      </c>
      <c r="I22" s="88"/>
      <c r="J22" s="88"/>
      <c r="K22" s="88"/>
      <c r="L22" s="88"/>
      <c r="M22" s="88"/>
      <c r="N22" s="88"/>
      <c r="O22" s="88"/>
      <c r="P22" s="88"/>
      <c r="Q22" s="61"/>
      <c r="R22" s="73"/>
      <c r="S22" s="65" t="e">
        <f t="shared" ca="1" si="8"/>
        <v>#NAME?</v>
      </c>
      <c r="T22" s="80"/>
      <c r="U22" s="74"/>
      <c r="V22" s="113" t="str">
        <f t="shared" si="6"/>
        <v>pIG017  ()</v>
      </c>
      <c r="X22" s="98"/>
      <c r="Y22" s="128">
        <f t="shared" si="7"/>
        <v>0</v>
      </c>
      <c r="Z22" s="131"/>
      <c r="AA22" s="107"/>
      <c r="AB22" s="107"/>
      <c r="AC22" s="108" t="str">
        <f t="shared" si="16"/>
        <v/>
      </c>
      <c r="AD22" s="109" t="str">
        <f t="shared" si="1"/>
        <v/>
      </c>
      <c r="AE22" s="110" t="str">
        <f t="shared" si="2"/>
        <v/>
      </c>
      <c r="AF22" s="95"/>
      <c r="AG22" s="108" t="str">
        <f t="shared" si="3"/>
        <v/>
      </c>
      <c r="AH22" s="111" t="str">
        <f t="shared" si="9"/>
        <v/>
      </c>
      <c r="AI22" s="96"/>
      <c r="AJ22" s="109" t="str">
        <f t="shared" si="4"/>
        <v/>
      </c>
      <c r="AK22" s="110" t="str">
        <f t="shared" si="5"/>
        <v/>
      </c>
      <c r="AL22" s="109" t="str">
        <f t="shared" si="10"/>
        <v/>
      </c>
      <c r="AM22" s="149"/>
      <c r="AO22" s="68"/>
      <c r="AP22" s="154" t="str">
        <f t="shared" si="11"/>
        <v>pIG017</v>
      </c>
      <c r="AQ22" s="154">
        <f t="shared" si="12"/>
        <v>0</v>
      </c>
      <c r="AR22" s="155">
        <f t="shared" si="13"/>
        <v>0</v>
      </c>
      <c r="AS22" s="153">
        <f t="shared" si="14"/>
        <v>0</v>
      </c>
      <c r="AT22" s="118">
        <f t="shared" si="15"/>
        <v>0</v>
      </c>
    </row>
    <row r="23" spans="1:46" s="59" customFormat="1" ht="14.4" x14ac:dyDescent="0.55000000000000004">
      <c r="A23" s="78"/>
      <c r="B23" s="170" t="s">
        <v>498</v>
      </c>
      <c r="C23" s="94"/>
      <c r="D23" s="79"/>
      <c r="E23" s="94"/>
      <c r="F23" s="70"/>
      <c r="G23" s="94"/>
      <c r="H23" s="59" t="s">
        <v>33</v>
      </c>
      <c r="I23" s="88"/>
      <c r="J23" s="88"/>
      <c r="K23" s="88"/>
      <c r="L23" s="88"/>
      <c r="M23" s="88"/>
      <c r="N23" s="88"/>
      <c r="O23" s="88"/>
      <c r="P23" s="88"/>
      <c r="Q23" s="61"/>
      <c r="R23" s="73"/>
      <c r="S23" s="65" t="e">
        <f t="shared" ca="1" si="8"/>
        <v>#NAME?</v>
      </c>
      <c r="T23" s="112"/>
      <c r="U23" s="112"/>
      <c r="V23" s="113" t="str">
        <f t="shared" si="6"/>
        <v>pIG018  ()</v>
      </c>
      <c r="X23" s="98"/>
      <c r="Y23" s="128">
        <f t="shared" si="7"/>
        <v>0</v>
      </c>
      <c r="Z23" s="131"/>
      <c r="AA23" s="107"/>
      <c r="AB23" s="107"/>
      <c r="AC23" s="108" t="str">
        <f t="shared" si="16"/>
        <v/>
      </c>
      <c r="AD23" s="109" t="str">
        <f t="shared" si="1"/>
        <v/>
      </c>
      <c r="AE23" s="110" t="str">
        <f t="shared" si="2"/>
        <v/>
      </c>
      <c r="AF23" s="95"/>
      <c r="AG23" s="108" t="str">
        <f t="shared" si="3"/>
        <v/>
      </c>
      <c r="AH23" s="111" t="str">
        <f t="shared" si="9"/>
        <v/>
      </c>
      <c r="AI23" s="96"/>
      <c r="AJ23" s="109" t="str">
        <f t="shared" si="4"/>
        <v/>
      </c>
      <c r="AK23" s="110" t="str">
        <f t="shared" si="5"/>
        <v/>
      </c>
      <c r="AL23" s="109" t="str">
        <f t="shared" si="10"/>
        <v/>
      </c>
      <c r="AM23" s="149"/>
      <c r="AO23" s="68"/>
      <c r="AP23" s="154" t="str">
        <f t="shared" si="11"/>
        <v>pIG018</v>
      </c>
      <c r="AQ23" s="154">
        <f t="shared" si="12"/>
        <v>0</v>
      </c>
      <c r="AR23" s="155">
        <f t="shared" si="13"/>
        <v>0</v>
      </c>
      <c r="AS23" s="153">
        <f t="shared" si="14"/>
        <v>0</v>
      </c>
      <c r="AT23" s="118">
        <f t="shared" si="15"/>
        <v>0</v>
      </c>
    </row>
    <row r="24" spans="1:46" s="59" customFormat="1" ht="14.4" x14ac:dyDescent="0.55000000000000004">
      <c r="A24" s="78"/>
      <c r="B24" s="170" t="s">
        <v>499</v>
      </c>
      <c r="C24" s="72"/>
      <c r="D24" s="72"/>
      <c r="E24" s="72"/>
      <c r="F24" s="70"/>
      <c r="G24" s="94"/>
      <c r="H24" s="59" t="s">
        <v>33</v>
      </c>
      <c r="I24" s="88"/>
      <c r="J24" s="88"/>
      <c r="K24" s="88"/>
      <c r="L24" s="88"/>
      <c r="M24" s="88"/>
      <c r="N24" s="88"/>
      <c r="O24" s="88"/>
      <c r="P24" s="88"/>
      <c r="Q24" s="61"/>
      <c r="R24" s="73"/>
      <c r="S24" s="65" t="e">
        <f t="shared" ca="1" si="8"/>
        <v>#NAME?</v>
      </c>
      <c r="T24" s="80"/>
      <c r="U24" s="74"/>
      <c r="V24" s="113" t="str">
        <f t="shared" si="6"/>
        <v>pIG019  ()</v>
      </c>
      <c r="X24" s="98"/>
      <c r="Y24" s="128">
        <f t="shared" si="7"/>
        <v>0</v>
      </c>
      <c r="Z24" s="131"/>
      <c r="AA24" s="107"/>
      <c r="AB24" s="107"/>
      <c r="AC24" s="108" t="str">
        <f t="shared" si="16"/>
        <v/>
      </c>
      <c r="AD24" s="109" t="str">
        <f t="shared" si="1"/>
        <v/>
      </c>
      <c r="AE24" s="110" t="str">
        <f t="shared" si="2"/>
        <v/>
      </c>
      <c r="AF24" s="95"/>
      <c r="AG24" s="108" t="str">
        <f t="shared" si="3"/>
        <v/>
      </c>
      <c r="AH24" s="111" t="str">
        <f t="shared" si="9"/>
        <v/>
      </c>
      <c r="AI24" s="96"/>
      <c r="AJ24" s="109" t="str">
        <f t="shared" si="4"/>
        <v/>
      </c>
      <c r="AK24" s="110" t="str">
        <f t="shared" si="5"/>
        <v/>
      </c>
      <c r="AL24" s="109" t="str">
        <f t="shared" si="10"/>
        <v/>
      </c>
      <c r="AM24" s="149"/>
      <c r="AO24" s="68"/>
      <c r="AP24" s="154" t="str">
        <f t="shared" si="11"/>
        <v>pIG019</v>
      </c>
      <c r="AQ24" s="154">
        <f t="shared" si="12"/>
        <v>0</v>
      </c>
      <c r="AR24" s="155">
        <f t="shared" si="13"/>
        <v>0</v>
      </c>
      <c r="AS24" s="153">
        <f t="shared" si="14"/>
        <v>0</v>
      </c>
      <c r="AT24" s="118">
        <f t="shared" si="15"/>
        <v>0</v>
      </c>
    </row>
    <row r="25" spans="1:46" s="59" customFormat="1" ht="14.4" x14ac:dyDescent="0.55000000000000004">
      <c r="A25" s="78"/>
      <c r="B25" s="170" t="s">
        <v>500</v>
      </c>
      <c r="C25" s="72"/>
      <c r="D25" s="72"/>
      <c r="E25" s="72"/>
      <c r="F25" s="70"/>
      <c r="G25" s="94"/>
      <c r="H25" s="59" t="s">
        <v>33</v>
      </c>
      <c r="I25" s="88"/>
      <c r="J25" s="88"/>
      <c r="K25" s="88"/>
      <c r="L25" s="88"/>
      <c r="M25" s="88"/>
      <c r="N25" s="88"/>
      <c r="O25" s="88"/>
      <c r="P25" s="88"/>
      <c r="Q25" s="61"/>
      <c r="R25" s="73"/>
      <c r="S25" s="65" t="e">
        <f t="shared" ca="1" si="8"/>
        <v>#NAME?</v>
      </c>
      <c r="T25" s="76"/>
      <c r="U25" s="74"/>
      <c r="V25" s="113" t="str">
        <f t="shared" si="6"/>
        <v>pIG020  ()</v>
      </c>
      <c r="X25" s="98"/>
      <c r="Y25" s="128">
        <f t="shared" si="7"/>
        <v>0</v>
      </c>
      <c r="Z25" s="131"/>
      <c r="AA25" s="107"/>
      <c r="AB25" s="107"/>
      <c r="AC25" s="108" t="str">
        <f t="shared" si="16"/>
        <v/>
      </c>
      <c r="AD25" s="109" t="str">
        <f t="shared" si="1"/>
        <v/>
      </c>
      <c r="AE25" s="110" t="str">
        <f t="shared" si="2"/>
        <v/>
      </c>
      <c r="AF25" s="95"/>
      <c r="AG25" s="108" t="str">
        <f t="shared" si="3"/>
        <v/>
      </c>
      <c r="AH25" s="111" t="str">
        <f t="shared" si="9"/>
        <v/>
      </c>
      <c r="AI25" s="96"/>
      <c r="AJ25" s="109" t="str">
        <f t="shared" si="4"/>
        <v/>
      </c>
      <c r="AK25" s="110" t="str">
        <f t="shared" si="5"/>
        <v/>
      </c>
      <c r="AL25" s="109" t="str">
        <f t="shared" si="10"/>
        <v/>
      </c>
      <c r="AM25" s="149"/>
      <c r="AO25" s="68"/>
      <c r="AP25" s="154" t="str">
        <f t="shared" si="11"/>
        <v>pIG020</v>
      </c>
      <c r="AQ25" s="154">
        <f t="shared" si="12"/>
        <v>0</v>
      </c>
      <c r="AR25" s="155">
        <f t="shared" si="13"/>
        <v>0</v>
      </c>
      <c r="AS25" s="153">
        <f t="shared" si="14"/>
        <v>0</v>
      </c>
      <c r="AT25" s="118">
        <f t="shared" si="15"/>
        <v>0</v>
      </c>
    </row>
    <row r="26" spans="1:46" s="59" customFormat="1" ht="14.4" x14ac:dyDescent="0.55000000000000004">
      <c r="A26" s="78"/>
      <c r="B26" s="170" t="s">
        <v>501</v>
      </c>
      <c r="C26" s="72"/>
      <c r="D26" s="72"/>
      <c r="E26" s="72"/>
      <c r="F26" s="70"/>
      <c r="G26" s="94"/>
      <c r="H26" s="59" t="s">
        <v>33</v>
      </c>
      <c r="I26" s="88"/>
      <c r="J26" s="88"/>
      <c r="K26" s="88"/>
      <c r="L26" s="88"/>
      <c r="M26" s="88"/>
      <c r="N26" s="88"/>
      <c r="O26" s="88"/>
      <c r="P26" s="88"/>
      <c r="Q26" s="61"/>
      <c r="R26" s="73"/>
      <c r="S26" s="65" t="e">
        <f t="shared" ca="1" si="8"/>
        <v>#NAME?</v>
      </c>
      <c r="U26" s="74"/>
      <c r="V26" s="113" t="str">
        <f t="shared" si="6"/>
        <v>pIG021  ()</v>
      </c>
      <c r="X26" s="98"/>
      <c r="Y26" s="128">
        <f t="shared" si="7"/>
        <v>0</v>
      </c>
      <c r="Z26" s="131"/>
      <c r="AA26" s="107"/>
      <c r="AB26" s="107"/>
      <c r="AC26" s="108" t="str">
        <f t="shared" si="16"/>
        <v/>
      </c>
      <c r="AD26" s="109" t="str">
        <f t="shared" si="1"/>
        <v/>
      </c>
      <c r="AE26" s="110" t="str">
        <f t="shared" si="2"/>
        <v/>
      </c>
      <c r="AF26" s="95"/>
      <c r="AG26" s="108" t="str">
        <f t="shared" si="3"/>
        <v/>
      </c>
      <c r="AH26" s="111" t="str">
        <f t="shared" si="9"/>
        <v/>
      </c>
      <c r="AI26" s="96"/>
      <c r="AJ26" s="109" t="str">
        <f t="shared" si="4"/>
        <v/>
      </c>
      <c r="AK26" s="110" t="str">
        <f t="shared" si="5"/>
        <v/>
      </c>
      <c r="AL26" s="109" t="str">
        <f t="shared" si="10"/>
        <v/>
      </c>
      <c r="AM26" s="149"/>
      <c r="AO26" s="68"/>
      <c r="AP26" s="154" t="str">
        <f t="shared" si="11"/>
        <v>pIG021</v>
      </c>
      <c r="AQ26" s="154">
        <f t="shared" si="12"/>
        <v>0</v>
      </c>
      <c r="AR26" s="155">
        <f t="shared" si="13"/>
        <v>0</v>
      </c>
      <c r="AS26" s="153">
        <f t="shared" si="14"/>
        <v>0</v>
      </c>
      <c r="AT26" s="118">
        <f t="shared" si="15"/>
        <v>0</v>
      </c>
    </row>
    <row r="27" spans="1:46" s="59" customFormat="1" ht="14.4" x14ac:dyDescent="0.55000000000000004">
      <c r="A27" s="78"/>
      <c r="B27" s="170" t="s">
        <v>502</v>
      </c>
      <c r="C27" s="70"/>
      <c r="D27" s="72"/>
      <c r="E27" s="72"/>
      <c r="F27" s="70"/>
      <c r="G27" s="94"/>
      <c r="H27" s="59" t="s">
        <v>33</v>
      </c>
      <c r="I27" s="88"/>
      <c r="J27" s="88"/>
      <c r="K27" s="88"/>
      <c r="L27" s="88"/>
      <c r="M27" s="88"/>
      <c r="N27" s="88"/>
      <c r="O27" s="88"/>
      <c r="P27" s="88"/>
      <c r="Q27" s="61"/>
      <c r="R27" s="73"/>
      <c r="S27" s="65" t="e">
        <f t="shared" ca="1" si="8"/>
        <v>#NAME?</v>
      </c>
      <c r="T27" s="76"/>
      <c r="U27" s="74"/>
      <c r="V27" s="113" t="str">
        <f t="shared" si="6"/>
        <v>pIG022  ()</v>
      </c>
      <c r="X27" s="98"/>
      <c r="Y27" s="128">
        <f t="shared" si="7"/>
        <v>0</v>
      </c>
      <c r="Z27" s="131"/>
      <c r="AA27" s="107"/>
      <c r="AB27" s="107"/>
      <c r="AC27" s="108" t="str">
        <f t="shared" si="16"/>
        <v/>
      </c>
      <c r="AD27" s="109" t="str">
        <f t="shared" si="1"/>
        <v/>
      </c>
      <c r="AE27" s="110" t="str">
        <f t="shared" si="2"/>
        <v/>
      </c>
      <c r="AF27" s="95"/>
      <c r="AG27" s="108" t="str">
        <f t="shared" si="3"/>
        <v/>
      </c>
      <c r="AH27" s="111" t="str">
        <f t="shared" si="9"/>
        <v/>
      </c>
      <c r="AI27" s="96"/>
      <c r="AJ27" s="109" t="str">
        <f t="shared" si="4"/>
        <v/>
      </c>
      <c r="AK27" s="110" t="str">
        <f t="shared" si="5"/>
        <v/>
      </c>
      <c r="AL27" s="109" t="str">
        <f t="shared" si="10"/>
        <v/>
      </c>
      <c r="AM27" s="149"/>
      <c r="AO27" s="68"/>
      <c r="AP27" s="154" t="str">
        <f t="shared" si="11"/>
        <v>pIG022</v>
      </c>
      <c r="AQ27" s="154">
        <f t="shared" si="12"/>
        <v>0</v>
      </c>
      <c r="AR27" s="155">
        <f t="shared" si="13"/>
        <v>0</v>
      </c>
      <c r="AS27" s="153">
        <f t="shared" si="14"/>
        <v>0</v>
      </c>
      <c r="AT27" s="118">
        <f t="shared" si="15"/>
        <v>0</v>
      </c>
    </row>
    <row r="28" spans="1:46" s="59" customFormat="1" ht="14.4" x14ac:dyDescent="0.55000000000000004">
      <c r="A28" s="78"/>
      <c r="B28" s="170" t="s">
        <v>503</v>
      </c>
      <c r="C28" s="94"/>
      <c r="D28" s="70"/>
      <c r="E28" s="94"/>
      <c r="F28" s="70"/>
      <c r="G28" s="94"/>
      <c r="H28" s="59" t="s">
        <v>33</v>
      </c>
      <c r="I28" s="88"/>
      <c r="J28" s="88"/>
      <c r="K28" s="88"/>
      <c r="L28" s="88"/>
      <c r="M28" s="88"/>
      <c r="N28" s="88"/>
      <c r="O28" s="88"/>
      <c r="P28" s="88"/>
      <c r="Q28" s="61"/>
      <c r="R28" s="73"/>
      <c r="S28" s="65" t="e">
        <f t="shared" ca="1" si="8"/>
        <v>#NAME?</v>
      </c>
      <c r="T28" s="87"/>
      <c r="U28" s="112"/>
      <c r="V28" s="113" t="str">
        <f t="shared" si="6"/>
        <v>pIG023  ()</v>
      </c>
      <c r="X28" s="98"/>
      <c r="Y28" s="128">
        <f t="shared" si="7"/>
        <v>0</v>
      </c>
      <c r="Z28" s="131"/>
      <c r="AA28" s="107"/>
      <c r="AB28" s="107"/>
      <c r="AC28" s="108" t="str">
        <f t="shared" si="16"/>
        <v/>
      </c>
      <c r="AD28" s="109" t="str">
        <f t="shared" si="1"/>
        <v/>
      </c>
      <c r="AE28" s="110" t="str">
        <f t="shared" si="2"/>
        <v/>
      </c>
      <c r="AF28" s="95"/>
      <c r="AG28" s="108" t="str">
        <f t="shared" si="3"/>
        <v/>
      </c>
      <c r="AH28" s="111" t="str">
        <f t="shared" si="9"/>
        <v/>
      </c>
      <c r="AI28" s="96"/>
      <c r="AJ28" s="109"/>
      <c r="AK28" s="110"/>
      <c r="AL28" s="109"/>
      <c r="AM28" s="149"/>
      <c r="AO28" s="68"/>
      <c r="AP28" s="154" t="str">
        <f t="shared" si="11"/>
        <v>pIG023</v>
      </c>
      <c r="AQ28" s="154">
        <f t="shared" si="12"/>
        <v>0</v>
      </c>
      <c r="AR28" s="155">
        <f t="shared" si="13"/>
        <v>0</v>
      </c>
      <c r="AS28" s="153">
        <f t="shared" si="14"/>
        <v>0</v>
      </c>
      <c r="AT28" s="118">
        <f t="shared" si="15"/>
        <v>0</v>
      </c>
    </row>
    <row r="29" spans="1:46" s="59" customFormat="1" ht="14.4" x14ac:dyDescent="0.55000000000000004">
      <c r="A29" s="78"/>
      <c r="B29" s="170" t="s">
        <v>504</v>
      </c>
      <c r="C29" s="94"/>
      <c r="D29" s="71"/>
      <c r="E29" s="94"/>
      <c r="F29" s="70"/>
      <c r="G29" s="70"/>
      <c r="H29" s="59" t="s">
        <v>33</v>
      </c>
      <c r="I29" s="88"/>
      <c r="J29" s="88"/>
      <c r="K29" s="88"/>
      <c r="L29" s="88"/>
      <c r="M29" s="88"/>
      <c r="N29" s="88"/>
      <c r="O29" s="88"/>
      <c r="P29" s="88"/>
      <c r="Q29" s="61"/>
      <c r="R29" s="73"/>
      <c r="S29" s="65" t="e">
        <f t="shared" ca="1" si="8"/>
        <v>#NAME?</v>
      </c>
      <c r="T29" s="74"/>
      <c r="U29" s="74"/>
      <c r="V29" s="113" t="str">
        <f t="shared" si="6"/>
        <v>pIG024  ()</v>
      </c>
      <c r="X29" s="98"/>
      <c r="Y29" s="128">
        <f t="shared" si="7"/>
        <v>0</v>
      </c>
      <c r="Z29" s="131"/>
      <c r="AA29" s="107"/>
      <c r="AB29" s="107"/>
      <c r="AC29" s="108" t="str">
        <f t="shared" si="16"/>
        <v/>
      </c>
      <c r="AD29" s="109" t="str">
        <f t="shared" si="1"/>
        <v/>
      </c>
      <c r="AE29" s="110" t="str">
        <f t="shared" si="2"/>
        <v/>
      </c>
      <c r="AF29" s="95"/>
      <c r="AG29" s="108" t="str">
        <f t="shared" si="3"/>
        <v/>
      </c>
      <c r="AH29" s="111" t="str">
        <f t="shared" si="9"/>
        <v/>
      </c>
      <c r="AI29" s="96"/>
      <c r="AJ29" s="109"/>
      <c r="AK29" s="110"/>
      <c r="AL29" s="109"/>
      <c r="AM29" s="149"/>
      <c r="AO29" s="68"/>
      <c r="AP29" s="154" t="str">
        <f t="shared" si="11"/>
        <v>pIG024</v>
      </c>
      <c r="AQ29" s="154">
        <f t="shared" si="12"/>
        <v>0</v>
      </c>
      <c r="AR29" s="155">
        <f t="shared" si="13"/>
        <v>0</v>
      </c>
      <c r="AS29" s="153">
        <f t="shared" si="14"/>
        <v>0</v>
      </c>
      <c r="AT29" s="118">
        <f t="shared" si="15"/>
        <v>0</v>
      </c>
    </row>
    <row r="30" spans="1:46" s="59" customFormat="1" ht="14.4" x14ac:dyDescent="0.55000000000000004">
      <c r="A30" s="78"/>
      <c r="B30" s="170" t="s">
        <v>505</v>
      </c>
      <c r="C30" s="72"/>
      <c r="D30" s="72"/>
      <c r="E30" s="99"/>
      <c r="F30" s="70"/>
      <c r="G30" s="70"/>
      <c r="H30" s="59" t="s">
        <v>33</v>
      </c>
      <c r="I30" s="88"/>
      <c r="J30" s="88"/>
      <c r="K30" s="88"/>
      <c r="L30" s="88"/>
      <c r="M30" s="88"/>
      <c r="N30" s="88"/>
      <c r="O30" s="88"/>
      <c r="P30" s="88"/>
      <c r="Q30" s="61"/>
      <c r="R30" s="73"/>
      <c r="S30" s="65" t="e">
        <f t="shared" ca="1" si="8"/>
        <v>#NAME?</v>
      </c>
      <c r="T30" s="74"/>
      <c r="U30" s="74"/>
      <c r="V30" s="113" t="str">
        <f t="shared" si="6"/>
        <v>pIG025  ()</v>
      </c>
      <c r="X30" s="98"/>
      <c r="Y30" s="128">
        <f t="shared" si="7"/>
        <v>0</v>
      </c>
      <c r="Z30" s="131"/>
      <c r="AA30" s="107"/>
      <c r="AB30" s="107"/>
      <c r="AC30" s="108" t="str">
        <f t="shared" si="16"/>
        <v/>
      </c>
      <c r="AD30" s="109" t="str">
        <f t="shared" si="1"/>
        <v/>
      </c>
      <c r="AE30" s="110" t="str">
        <f t="shared" si="2"/>
        <v/>
      </c>
      <c r="AF30" s="95"/>
      <c r="AG30" s="108" t="str">
        <f t="shared" si="3"/>
        <v/>
      </c>
      <c r="AH30" s="111" t="str">
        <f t="shared" si="9"/>
        <v/>
      </c>
      <c r="AI30" s="96"/>
      <c r="AJ30" s="109"/>
      <c r="AK30" s="110"/>
      <c r="AL30" s="109"/>
      <c r="AM30" s="149"/>
      <c r="AO30" s="68"/>
      <c r="AP30" s="154" t="str">
        <f t="shared" si="11"/>
        <v>pIG025</v>
      </c>
      <c r="AQ30" s="154">
        <f t="shared" si="12"/>
        <v>0</v>
      </c>
      <c r="AR30" s="155">
        <f t="shared" si="13"/>
        <v>0</v>
      </c>
      <c r="AS30" s="153">
        <f t="shared" si="14"/>
        <v>0</v>
      </c>
      <c r="AT30" s="118">
        <f t="shared" si="15"/>
        <v>0</v>
      </c>
    </row>
    <row r="31" spans="1:46" s="59" customFormat="1" ht="14.4" x14ac:dyDescent="0.55000000000000004">
      <c r="A31" s="78"/>
      <c r="B31" s="170" t="s">
        <v>506</v>
      </c>
      <c r="C31" s="99"/>
      <c r="D31" s="72"/>
      <c r="E31" s="106"/>
      <c r="F31" s="70"/>
      <c r="G31" s="70"/>
      <c r="H31" s="59" t="s">
        <v>33</v>
      </c>
      <c r="I31" s="88"/>
      <c r="J31" s="88"/>
      <c r="K31" s="88"/>
      <c r="L31" s="88"/>
      <c r="M31" s="88"/>
      <c r="N31" s="88"/>
      <c r="O31" s="88"/>
      <c r="P31" s="88"/>
      <c r="Q31" s="61"/>
      <c r="R31" s="73"/>
      <c r="S31" s="65" t="e">
        <f t="shared" ca="1" si="8"/>
        <v>#NAME?</v>
      </c>
      <c r="T31" s="76"/>
      <c r="U31" s="76"/>
      <c r="V31" s="113" t="str">
        <f t="shared" si="6"/>
        <v>pIG026  ()</v>
      </c>
      <c r="X31" s="98"/>
      <c r="Y31" s="128">
        <f t="shared" si="7"/>
        <v>0</v>
      </c>
      <c r="Z31" s="131"/>
      <c r="AA31" s="107"/>
      <c r="AB31" s="107"/>
      <c r="AC31" s="108" t="str">
        <f t="shared" si="16"/>
        <v/>
      </c>
      <c r="AD31" s="109" t="str">
        <f t="shared" si="1"/>
        <v/>
      </c>
      <c r="AE31" s="110" t="str">
        <f t="shared" si="2"/>
        <v/>
      </c>
      <c r="AF31" s="95"/>
      <c r="AG31" s="108" t="str">
        <f t="shared" si="3"/>
        <v/>
      </c>
      <c r="AH31" s="111" t="str">
        <f t="shared" si="9"/>
        <v/>
      </c>
      <c r="AI31" s="96"/>
      <c r="AJ31" s="109"/>
      <c r="AK31" s="110"/>
      <c r="AL31" s="109"/>
      <c r="AM31" s="149"/>
      <c r="AO31" s="68"/>
      <c r="AP31" s="154" t="str">
        <f t="shared" si="11"/>
        <v>pIG026</v>
      </c>
      <c r="AQ31" s="154">
        <f t="shared" si="12"/>
        <v>0</v>
      </c>
      <c r="AR31" s="155">
        <f t="shared" si="13"/>
        <v>0</v>
      </c>
      <c r="AS31" s="153">
        <f t="shared" si="14"/>
        <v>0</v>
      </c>
      <c r="AT31" s="118">
        <f t="shared" si="15"/>
        <v>0</v>
      </c>
    </row>
    <row r="32" spans="1:46" s="59" customFormat="1" ht="14.4" x14ac:dyDescent="0.55000000000000004">
      <c r="A32" s="78"/>
      <c r="B32" s="170" t="s">
        <v>507</v>
      </c>
      <c r="C32" s="94"/>
      <c r="D32" s="72"/>
      <c r="E32" s="70"/>
      <c r="F32" s="70"/>
      <c r="G32" s="70"/>
      <c r="H32" s="59" t="s">
        <v>33</v>
      </c>
      <c r="I32" s="88"/>
      <c r="J32" s="88"/>
      <c r="K32" s="88"/>
      <c r="L32" s="88"/>
      <c r="M32" s="88"/>
      <c r="N32" s="88"/>
      <c r="O32" s="88"/>
      <c r="P32" s="88"/>
      <c r="Q32" s="61"/>
      <c r="R32" s="73"/>
      <c r="S32" s="65" t="e">
        <f t="shared" ca="1" si="8"/>
        <v>#NAME?</v>
      </c>
      <c r="T32" s="76"/>
      <c r="U32" s="74"/>
      <c r="V32" s="113" t="str">
        <f t="shared" si="6"/>
        <v>pIG027  ()</v>
      </c>
      <c r="X32" s="98"/>
      <c r="Y32" s="128">
        <f t="shared" si="7"/>
        <v>0</v>
      </c>
      <c r="Z32" s="131"/>
      <c r="AA32" s="107"/>
      <c r="AB32" s="107"/>
      <c r="AC32" s="108" t="str">
        <f t="shared" si="16"/>
        <v/>
      </c>
      <c r="AD32" s="109" t="str">
        <f t="shared" si="1"/>
        <v/>
      </c>
      <c r="AE32" s="110" t="str">
        <f t="shared" si="2"/>
        <v/>
      </c>
      <c r="AF32" s="95"/>
      <c r="AG32" s="108" t="str">
        <f t="shared" si="3"/>
        <v/>
      </c>
      <c r="AH32" s="111" t="str">
        <f t="shared" si="9"/>
        <v/>
      </c>
      <c r="AI32" s="96"/>
      <c r="AJ32" s="109"/>
      <c r="AK32" s="110"/>
      <c r="AL32" s="109"/>
      <c r="AM32" s="149"/>
      <c r="AO32" s="68"/>
      <c r="AP32" s="154" t="str">
        <f t="shared" si="11"/>
        <v>pIG027</v>
      </c>
      <c r="AQ32" s="154">
        <f t="shared" si="12"/>
        <v>0</v>
      </c>
      <c r="AR32" s="155">
        <f t="shared" si="13"/>
        <v>0</v>
      </c>
      <c r="AS32" s="153">
        <f t="shared" si="14"/>
        <v>0</v>
      </c>
      <c r="AT32" s="118">
        <f t="shared" si="15"/>
        <v>0</v>
      </c>
    </row>
    <row r="33" spans="1:46" s="59" customFormat="1" ht="14.4" x14ac:dyDescent="0.55000000000000004">
      <c r="A33" s="78"/>
      <c r="B33" s="170" t="s">
        <v>508</v>
      </c>
      <c r="C33" s="70"/>
      <c r="D33" s="72"/>
      <c r="E33" s="70"/>
      <c r="F33" s="70"/>
      <c r="G33" s="70"/>
      <c r="H33" s="59" t="s">
        <v>33</v>
      </c>
      <c r="I33" s="88"/>
      <c r="J33" s="88"/>
      <c r="K33" s="88"/>
      <c r="L33" s="88"/>
      <c r="M33" s="88"/>
      <c r="N33" s="88"/>
      <c r="O33" s="88"/>
      <c r="P33" s="88"/>
      <c r="Q33" s="61"/>
      <c r="R33" s="73"/>
      <c r="S33" s="65" t="e">
        <f t="shared" ca="1" si="8"/>
        <v>#NAME?</v>
      </c>
      <c r="T33" s="74"/>
      <c r="U33" s="74"/>
      <c r="V33" s="113" t="str">
        <f t="shared" si="6"/>
        <v>pIG028  ()</v>
      </c>
      <c r="X33" s="98"/>
      <c r="Y33" s="128">
        <f t="shared" si="7"/>
        <v>0</v>
      </c>
      <c r="Z33" s="131"/>
      <c r="AA33" s="107"/>
      <c r="AB33" s="107"/>
      <c r="AC33" s="108" t="str">
        <f t="shared" si="16"/>
        <v/>
      </c>
      <c r="AD33" s="109" t="str">
        <f t="shared" si="1"/>
        <v/>
      </c>
      <c r="AE33" s="110" t="str">
        <f t="shared" si="2"/>
        <v/>
      </c>
      <c r="AF33" s="95"/>
      <c r="AG33" s="108" t="str">
        <f t="shared" si="3"/>
        <v/>
      </c>
      <c r="AH33" s="111" t="str">
        <f t="shared" si="9"/>
        <v/>
      </c>
      <c r="AI33" s="96"/>
      <c r="AJ33" s="109"/>
      <c r="AK33" s="110"/>
      <c r="AL33" s="109"/>
      <c r="AM33" s="149"/>
      <c r="AO33" s="68"/>
      <c r="AP33" s="154" t="str">
        <f t="shared" si="11"/>
        <v>pIG028</v>
      </c>
      <c r="AQ33" s="154">
        <f t="shared" si="12"/>
        <v>0</v>
      </c>
      <c r="AR33" s="155">
        <f t="shared" si="13"/>
        <v>0</v>
      </c>
      <c r="AS33" s="153">
        <f t="shared" si="14"/>
        <v>0</v>
      </c>
      <c r="AT33" s="118">
        <f t="shared" si="15"/>
        <v>0</v>
      </c>
    </row>
    <row r="34" spans="1:46" s="59" customFormat="1" ht="14.4" x14ac:dyDescent="0.55000000000000004">
      <c r="A34" s="78"/>
      <c r="B34" s="170" t="s">
        <v>509</v>
      </c>
      <c r="C34" s="94"/>
      <c r="D34" s="72"/>
      <c r="E34" s="99"/>
      <c r="F34" s="99"/>
      <c r="G34" s="72"/>
      <c r="H34" s="59" t="s">
        <v>33</v>
      </c>
      <c r="I34" s="88"/>
      <c r="J34" s="88"/>
      <c r="K34" s="88"/>
      <c r="L34" s="88"/>
      <c r="M34" s="88"/>
      <c r="N34" s="88"/>
      <c r="O34" s="88"/>
      <c r="P34" s="88"/>
      <c r="Q34" s="61"/>
      <c r="R34" s="73"/>
      <c r="S34" s="65" t="e">
        <f t="shared" ca="1" si="8"/>
        <v>#NAME?</v>
      </c>
      <c r="T34" s="76"/>
      <c r="U34" s="74"/>
      <c r="V34" s="113" t="str">
        <f t="shared" si="6"/>
        <v>pIG029  ()</v>
      </c>
      <c r="X34" s="98"/>
      <c r="Y34" s="128">
        <f t="shared" si="7"/>
        <v>0</v>
      </c>
      <c r="Z34" s="131"/>
      <c r="AA34" s="107"/>
      <c r="AB34" s="107"/>
      <c r="AC34" s="108" t="str">
        <f t="shared" si="16"/>
        <v/>
      </c>
      <c r="AD34" s="109" t="str">
        <f t="shared" si="1"/>
        <v/>
      </c>
      <c r="AE34" s="110" t="str">
        <f t="shared" si="2"/>
        <v/>
      </c>
      <c r="AF34" s="95"/>
      <c r="AG34" s="108" t="str">
        <f t="shared" si="3"/>
        <v/>
      </c>
      <c r="AH34" s="111" t="str">
        <f t="shared" si="9"/>
        <v/>
      </c>
      <c r="AI34" s="96"/>
      <c r="AJ34" s="109"/>
      <c r="AK34" s="110"/>
      <c r="AL34" s="109"/>
      <c r="AM34" s="149"/>
      <c r="AO34" s="68"/>
      <c r="AP34" s="154" t="str">
        <f t="shared" si="11"/>
        <v>pIG029</v>
      </c>
      <c r="AQ34" s="154">
        <f t="shared" si="12"/>
        <v>0</v>
      </c>
      <c r="AR34" s="155">
        <f t="shared" si="13"/>
        <v>0</v>
      </c>
      <c r="AS34" s="153">
        <f t="shared" si="14"/>
        <v>0</v>
      </c>
      <c r="AT34" s="118">
        <f t="shared" si="15"/>
        <v>0</v>
      </c>
    </row>
    <row r="35" spans="1:46" s="59" customFormat="1" ht="14.4" x14ac:dyDescent="0.55000000000000004">
      <c r="A35" s="78"/>
      <c r="B35" s="170" t="s">
        <v>510</v>
      </c>
      <c r="C35" s="70"/>
      <c r="D35" s="70"/>
      <c r="E35" s="72"/>
      <c r="F35" s="70"/>
      <c r="G35" s="70"/>
      <c r="H35" s="59" t="s">
        <v>33</v>
      </c>
      <c r="I35" s="88"/>
      <c r="J35" s="88"/>
      <c r="K35" s="88"/>
      <c r="L35" s="88"/>
      <c r="M35" s="88"/>
      <c r="N35" s="88"/>
      <c r="O35" s="88"/>
      <c r="P35" s="88"/>
      <c r="Q35" s="61"/>
      <c r="R35" s="73"/>
      <c r="S35" s="65" t="e">
        <f t="shared" ca="1" si="8"/>
        <v>#NAME?</v>
      </c>
      <c r="T35" s="76"/>
      <c r="U35" s="74"/>
      <c r="V35" s="113" t="str">
        <f t="shared" si="6"/>
        <v>pIG030  ()</v>
      </c>
      <c r="X35" s="98"/>
      <c r="Y35" s="128">
        <f t="shared" si="7"/>
        <v>0</v>
      </c>
      <c r="Z35" s="131"/>
      <c r="AA35" s="107"/>
      <c r="AB35" s="107"/>
      <c r="AC35" s="108" t="str">
        <f t="shared" si="16"/>
        <v/>
      </c>
      <c r="AD35" s="109" t="str">
        <f t="shared" si="1"/>
        <v/>
      </c>
      <c r="AE35" s="110" t="str">
        <f t="shared" si="2"/>
        <v/>
      </c>
      <c r="AF35" s="95"/>
      <c r="AG35" s="108" t="str">
        <f t="shared" si="3"/>
        <v/>
      </c>
      <c r="AH35" s="111" t="str">
        <f t="shared" si="9"/>
        <v/>
      </c>
      <c r="AI35" s="96"/>
      <c r="AJ35" s="109"/>
      <c r="AK35" s="110"/>
      <c r="AL35" s="109"/>
      <c r="AM35" s="149"/>
      <c r="AO35" s="68"/>
      <c r="AP35" s="154" t="str">
        <f t="shared" si="11"/>
        <v>pIG030</v>
      </c>
      <c r="AQ35" s="154">
        <f t="shared" si="12"/>
        <v>0</v>
      </c>
      <c r="AR35" s="155">
        <f t="shared" si="13"/>
        <v>0</v>
      </c>
      <c r="AS35" s="153">
        <f t="shared" si="14"/>
        <v>0</v>
      </c>
      <c r="AT35" s="118">
        <f t="shared" si="15"/>
        <v>0</v>
      </c>
    </row>
    <row r="36" spans="1:46" s="59" customFormat="1" ht="14.4" x14ac:dyDescent="0.55000000000000004">
      <c r="A36" s="78"/>
      <c r="B36" s="170" t="s">
        <v>511</v>
      </c>
      <c r="C36" s="70"/>
      <c r="D36" s="94"/>
      <c r="E36" s="72"/>
      <c r="F36" s="70"/>
      <c r="G36" s="70"/>
      <c r="H36" s="59" t="s">
        <v>33</v>
      </c>
      <c r="I36" s="88"/>
      <c r="J36" s="88"/>
      <c r="K36" s="88"/>
      <c r="L36" s="88"/>
      <c r="M36" s="88"/>
      <c r="N36" s="88"/>
      <c r="O36" s="88"/>
      <c r="P36" s="88"/>
      <c r="Q36" s="61"/>
      <c r="R36" s="73"/>
      <c r="S36" s="65" t="e">
        <f t="shared" ca="1" si="8"/>
        <v>#NAME?</v>
      </c>
      <c r="T36" s="76"/>
      <c r="U36" s="74"/>
      <c r="V36" s="113" t="str">
        <f t="shared" si="6"/>
        <v>pIG031  ()</v>
      </c>
      <c r="X36" s="98"/>
      <c r="Y36" s="128">
        <f t="shared" si="7"/>
        <v>0</v>
      </c>
      <c r="Z36" s="131"/>
      <c r="AA36" s="107"/>
      <c r="AB36" s="107"/>
      <c r="AC36" s="108" t="str">
        <f t="shared" si="16"/>
        <v/>
      </c>
      <c r="AD36" s="109" t="str">
        <f t="shared" si="1"/>
        <v/>
      </c>
      <c r="AE36" s="110" t="str">
        <f t="shared" si="2"/>
        <v/>
      </c>
      <c r="AF36" s="95"/>
      <c r="AG36" s="108" t="str">
        <f t="shared" si="3"/>
        <v/>
      </c>
      <c r="AH36" s="111" t="str">
        <f t="shared" si="9"/>
        <v/>
      </c>
      <c r="AI36" s="96"/>
      <c r="AJ36" s="109"/>
      <c r="AK36" s="110"/>
      <c r="AL36" s="109"/>
      <c r="AM36" s="149"/>
      <c r="AO36" s="68"/>
      <c r="AP36" s="154" t="str">
        <f t="shared" si="11"/>
        <v>pIG031</v>
      </c>
      <c r="AQ36" s="154">
        <f t="shared" si="12"/>
        <v>0</v>
      </c>
      <c r="AR36" s="155">
        <f t="shared" si="13"/>
        <v>0</v>
      </c>
      <c r="AS36" s="153">
        <f t="shared" si="14"/>
        <v>0</v>
      </c>
      <c r="AT36" s="118">
        <f t="shared" si="15"/>
        <v>0</v>
      </c>
    </row>
    <row r="37" spans="1:46" s="59" customFormat="1" ht="14.4" x14ac:dyDescent="0.55000000000000004">
      <c r="A37" s="78"/>
      <c r="B37" s="170" t="s">
        <v>512</v>
      </c>
      <c r="C37" s="70"/>
      <c r="D37" s="70"/>
      <c r="E37" s="70"/>
      <c r="F37" s="70"/>
      <c r="G37" s="70"/>
      <c r="H37" s="59" t="s">
        <v>33</v>
      </c>
      <c r="I37" s="88"/>
      <c r="J37" s="88"/>
      <c r="K37" s="88"/>
      <c r="L37" s="88"/>
      <c r="M37" s="88"/>
      <c r="N37" s="88"/>
      <c r="O37" s="88"/>
      <c r="P37" s="88"/>
      <c r="Q37" s="61"/>
      <c r="R37" s="73"/>
      <c r="S37" s="65" t="e">
        <f t="shared" ca="1" si="8"/>
        <v>#NAME?</v>
      </c>
      <c r="T37" s="76"/>
      <c r="U37" s="74"/>
      <c r="V37" s="113" t="str">
        <f t="shared" si="6"/>
        <v>pIG032  ()</v>
      </c>
      <c r="X37" s="98"/>
      <c r="Y37" s="128">
        <f t="shared" si="7"/>
        <v>0</v>
      </c>
      <c r="Z37" s="131"/>
      <c r="AA37" s="107"/>
      <c r="AB37" s="107"/>
      <c r="AC37" s="108" t="str">
        <f t="shared" si="16"/>
        <v/>
      </c>
      <c r="AD37" s="109" t="str">
        <f t="shared" si="1"/>
        <v/>
      </c>
      <c r="AE37" s="110" t="str">
        <f t="shared" si="2"/>
        <v/>
      </c>
      <c r="AF37" s="95"/>
      <c r="AG37" s="108" t="str">
        <f t="shared" si="3"/>
        <v/>
      </c>
      <c r="AH37" s="111" t="str">
        <f t="shared" si="9"/>
        <v/>
      </c>
      <c r="AI37" s="96"/>
      <c r="AJ37" s="109"/>
      <c r="AK37" s="110"/>
      <c r="AL37" s="109"/>
      <c r="AM37" s="149"/>
      <c r="AO37" s="68"/>
      <c r="AP37" s="154" t="str">
        <f t="shared" si="11"/>
        <v>pIG032</v>
      </c>
      <c r="AQ37" s="154">
        <f t="shared" si="12"/>
        <v>0</v>
      </c>
      <c r="AR37" s="155">
        <f t="shared" si="13"/>
        <v>0</v>
      </c>
      <c r="AS37" s="153">
        <f t="shared" si="14"/>
        <v>0</v>
      </c>
      <c r="AT37" s="118">
        <f t="shared" si="15"/>
        <v>0</v>
      </c>
    </row>
    <row r="38" spans="1:46" s="59" customFormat="1" ht="14.4" x14ac:dyDescent="0.55000000000000004">
      <c r="A38" s="78"/>
      <c r="B38" s="170" t="s">
        <v>513</v>
      </c>
      <c r="C38" s="94"/>
      <c r="D38" s="70"/>
      <c r="E38" s="70"/>
      <c r="F38" s="70"/>
      <c r="G38" s="70"/>
      <c r="H38" s="59" t="s">
        <v>33</v>
      </c>
      <c r="I38" s="88"/>
      <c r="J38" s="88"/>
      <c r="K38" s="88"/>
      <c r="L38" s="88"/>
      <c r="M38" s="88"/>
      <c r="N38" s="88"/>
      <c r="O38" s="88"/>
      <c r="P38" s="88"/>
      <c r="Q38" s="61"/>
      <c r="R38" s="73"/>
      <c r="S38" s="65" t="e">
        <f t="shared" ca="1" si="8"/>
        <v>#NAME?</v>
      </c>
      <c r="T38" s="76"/>
      <c r="U38" s="74"/>
      <c r="V38" s="113" t="str">
        <f t="shared" si="6"/>
        <v>pIG033  ()</v>
      </c>
      <c r="X38" s="98"/>
      <c r="Y38" s="128">
        <f t="shared" ref="Y38:Y69" si="17">IF(X38=" ","",LEN(X38))</f>
        <v>0</v>
      </c>
      <c r="Z38" s="131"/>
      <c r="AA38" s="107"/>
      <c r="AB38" s="107"/>
      <c r="AC38" s="108" t="str">
        <f t="shared" si="16"/>
        <v/>
      </c>
      <c r="AD38" s="109" t="str">
        <f t="shared" si="1"/>
        <v/>
      </c>
      <c r="AE38" s="110" t="str">
        <f t="shared" si="2"/>
        <v/>
      </c>
      <c r="AF38" s="95"/>
      <c r="AG38" s="108" t="str">
        <f t="shared" si="3"/>
        <v/>
      </c>
      <c r="AH38" s="111" t="str">
        <f t="shared" si="9"/>
        <v/>
      </c>
      <c r="AI38" s="96"/>
      <c r="AJ38" s="109"/>
      <c r="AK38" s="110"/>
      <c r="AL38" s="109"/>
      <c r="AM38" s="149"/>
      <c r="AO38" s="68"/>
      <c r="AP38" s="154" t="str">
        <f t="shared" si="11"/>
        <v>pIG033</v>
      </c>
      <c r="AQ38" s="154">
        <f t="shared" si="12"/>
        <v>0</v>
      </c>
      <c r="AR38" s="155">
        <f t="shared" si="13"/>
        <v>0</v>
      </c>
      <c r="AS38" s="153">
        <f t="shared" si="14"/>
        <v>0</v>
      </c>
      <c r="AT38" s="118">
        <f t="shared" si="15"/>
        <v>0</v>
      </c>
    </row>
    <row r="39" spans="1:46" s="59" customFormat="1" ht="14.4" x14ac:dyDescent="0.55000000000000004">
      <c r="A39" s="78"/>
      <c r="B39" s="170" t="s">
        <v>514</v>
      </c>
      <c r="C39" s="94"/>
      <c r="D39" s="72"/>
      <c r="E39" s="94"/>
      <c r="F39" s="70"/>
      <c r="G39" s="70"/>
      <c r="H39" s="59" t="s">
        <v>33</v>
      </c>
      <c r="I39" s="88"/>
      <c r="J39" s="88"/>
      <c r="K39" s="88"/>
      <c r="L39" s="88"/>
      <c r="M39" s="88"/>
      <c r="N39" s="88"/>
      <c r="O39" s="88"/>
      <c r="P39" s="88"/>
      <c r="Q39" s="61"/>
      <c r="R39" s="73"/>
      <c r="S39" s="65" t="e">
        <f t="shared" ca="1" si="8"/>
        <v>#NAME?</v>
      </c>
      <c r="T39" s="80"/>
      <c r="V39" s="113" t="str">
        <f t="shared" si="6"/>
        <v>pIG034  ()</v>
      </c>
      <c r="X39" s="98"/>
      <c r="Y39" s="128">
        <f t="shared" si="17"/>
        <v>0</v>
      </c>
      <c r="Z39" s="131"/>
      <c r="AA39" s="107"/>
      <c r="AB39" s="107"/>
      <c r="AC39" s="108" t="str">
        <f t="shared" si="16"/>
        <v/>
      </c>
      <c r="AD39" s="109" t="str">
        <f t="shared" si="1"/>
        <v/>
      </c>
      <c r="AE39" s="110" t="str">
        <f t="shared" si="2"/>
        <v/>
      </c>
      <c r="AF39" s="95"/>
      <c r="AG39" s="108" t="str">
        <f t="shared" si="3"/>
        <v/>
      </c>
      <c r="AH39" s="111" t="str">
        <f t="shared" si="9"/>
        <v/>
      </c>
      <c r="AI39" s="96"/>
      <c r="AJ39" s="109"/>
      <c r="AK39" s="110"/>
      <c r="AL39" s="109"/>
      <c r="AM39" s="149"/>
      <c r="AO39" s="68"/>
      <c r="AP39" s="154" t="str">
        <f t="shared" si="11"/>
        <v>pIG034</v>
      </c>
      <c r="AQ39" s="154">
        <f t="shared" si="12"/>
        <v>0</v>
      </c>
      <c r="AR39" s="155">
        <f t="shared" si="13"/>
        <v>0</v>
      </c>
      <c r="AS39" s="153">
        <f t="shared" si="14"/>
        <v>0</v>
      </c>
      <c r="AT39" s="118">
        <f t="shared" si="15"/>
        <v>0</v>
      </c>
    </row>
    <row r="40" spans="1:46" s="59" customFormat="1" ht="14.4" x14ac:dyDescent="0.55000000000000004">
      <c r="A40" s="78"/>
      <c r="B40" s="170" t="s">
        <v>515</v>
      </c>
      <c r="C40" s="94"/>
      <c r="D40" s="70"/>
      <c r="E40" s="70"/>
      <c r="F40" s="70"/>
      <c r="G40" s="70"/>
      <c r="H40" s="59" t="s">
        <v>33</v>
      </c>
      <c r="I40" s="88"/>
      <c r="J40" s="88"/>
      <c r="K40" s="88"/>
      <c r="L40" s="88"/>
      <c r="M40" s="88"/>
      <c r="N40" s="88"/>
      <c r="O40" s="88"/>
      <c r="P40" s="88"/>
      <c r="Q40" s="61"/>
      <c r="R40" s="73"/>
      <c r="S40" s="65" t="e">
        <f t="shared" ca="1" si="8"/>
        <v>#NAME?</v>
      </c>
      <c r="T40" s="74"/>
      <c r="V40" s="113" t="str">
        <f t="shared" si="6"/>
        <v>pIG035  ()</v>
      </c>
      <c r="X40" s="98"/>
      <c r="Y40" s="128">
        <f t="shared" si="17"/>
        <v>0</v>
      </c>
      <c r="Z40" s="131"/>
      <c r="AA40" s="107"/>
      <c r="AB40" s="107"/>
      <c r="AC40" s="108" t="str">
        <f t="shared" si="16"/>
        <v/>
      </c>
      <c r="AD40" s="109" t="str">
        <f t="shared" si="1"/>
        <v/>
      </c>
      <c r="AE40" s="110" t="str">
        <f t="shared" si="2"/>
        <v/>
      </c>
      <c r="AF40" s="95"/>
      <c r="AG40" s="108" t="str">
        <f t="shared" si="3"/>
        <v/>
      </c>
      <c r="AH40" s="111" t="str">
        <f t="shared" si="9"/>
        <v/>
      </c>
      <c r="AI40" s="96"/>
      <c r="AJ40" s="109"/>
      <c r="AK40" s="110"/>
      <c r="AL40" s="109"/>
      <c r="AM40" s="149"/>
      <c r="AO40" s="68"/>
      <c r="AP40" s="154" t="str">
        <f t="shared" si="11"/>
        <v>pIG035</v>
      </c>
      <c r="AQ40" s="154">
        <f t="shared" si="12"/>
        <v>0</v>
      </c>
      <c r="AR40" s="155">
        <f t="shared" si="13"/>
        <v>0</v>
      </c>
      <c r="AS40" s="153">
        <f t="shared" si="14"/>
        <v>0</v>
      </c>
      <c r="AT40" s="118">
        <f t="shared" si="15"/>
        <v>0</v>
      </c>
    </row>
    <row r="41" spans="1:46" s="59" customFormat="1" ht="14.4" x14ac:dyDescent="0.55000000000000004">
      <c r="A41" s="78"/>
      <c r="B41" s="170" t="s">
        <v>516</v>
      </c>
      <c r="C41" s="18"/>
      <c r="D41" s="79"/>
      <c r="E41" s="72"/>
      <c r="F41" s="70"/>
      <c r="G41" s="70"/>
      <c r="H41" s="59" t="s">
        <v>33</v>
      </c>
      <c r="I41" s="88"/>
      <c r="J41" s="88"/>
      <c r="K41" s="88"/>
      <c r="L41" s="88"/>
      <c r="M41" s="88"/>
      <c r="N41" s="88"/>
      <c r="O41" s="88"/>
      <c r="P41" s="88"/>
      <c r="Q41" s="61"/>
      <c r="R41" s="73"/>
      <c r="S41" s="65" t="e">
        <f t="shared" ca="1" si="8"/>
        <v>#NAME?</v>
      </c>
      <c r="T41" s="87"/>
      <c r="U41" s="74"/>
      <c r="V41" s="113" t="str">
        <f t="shared" si="6"/>
        <v>pIG036  ()</v>
      </c>
      <c r="X41" s="98"/>
      <c r="Y41" s="128">
        <f t="shared" si="17"/>
        <v>0</v>
      </c>
      <c r="Z41" s="131"/>
      <c r="AA41" s="107"/>
      <c r="AB41" s="107"/>
      <c r="AC41" s="108" t="str">
        <f t="shared" si="16"/>
        <v/>
      </c>
      <c r="AD41" s="109" t="str">
        <f t="shared" si="1"/>
        <v/>
      </c>
      <c r="AE41" s="110" t="str">
        <f t="shared" si="2"/>
        <v/>
      </c>
      <c r="AF41" s="95"/>
      <c r="AG41" s="108" t="str">
        <f t="shared" si="3"/>
        <v/>
      </c>
      <c r="AH41" s="111" t="str">
        <f t="shared" si="9"/>
        <v/>
      </c>
      <c r="AI41" s="96"/>
      <c r="AJ41" s="109"/>
      <c r="AK41" s="110"/>
      <c r="AL41" s="109"/>
      <c r="AM41" s="149"/>
      <c r="AO41" s="68"/>
      <c r="AP41" s="154" t="str">
        <f t="shared" si="11"/>
        <v>pIG036</v>
      </c>
      <c r="AQ41" s="154">
        <f t="shared" si="12"/>
        <v>0</v>
      </c>
      <c r="AR41" s="155">
        <f t="shared" si="13"/>
        <v>0</v>
      </c>
      <c r="AS41" s="153">
        <f t="shared" si="14"/>
        <v>0</v>
      </c>
      <c r="AT41" s="118">
        <f t="shared" si="15"/>
        <v>0</v>
      </c>
    </row>
    <row r="42" spans="1:46" s="59" customFormat="1" ht="14.4" x14ac:dyDescent="0.55000000000000004">
      <c r="A42" s="78"/>
      <c r="B42" s="170" t="s">
        <v>517</v>
      </c>
      <c r="C42" s="18"/>
      <c r="D42" s="79"/>
      <c r="E42" s="99"/>
      <c r="F42" s="70"/>
      <c r="G42" s="70"/>
      <c r="H42" s="59" t="s">
        <v>33</v>
      </c>
      <c r="I42" s="88"/>
      <c r="J42" s="88"/>
      <c r="K42" s="88"/>
      <c r="L42" s="88"/>
      <c r="M42" s="88"/>
      <c r="N42" s="88"/>
      <c r="O42" s="88"/>
      <c r="P42" s="88"/>
      <c r="Q42" s="61"/>
      <c r="R42" s="73"/>
      <c r="S42" s="65" t="e">
        <f t="shared" ca="1" si="8"/>
        <v>#NAME?</v>
      </c>
      <c r="T42" s="76"/>
      <c r="U42" s="74"/>
      <c r="V42" s="113" t="str">
        <f t="shared" si="6"/>
        <v>pIG037  ()</v>
      </c>
      <c r="X42" s="98"/>
      <c r="Y42" s="128">
        <f t="shared" si="17"/>
        <v>0</v>
      </c>
      <c r="Z42" s="131"/>
      <c r="AA42" s="107"/>
      <c r="AB42" s="107"/>
      <c r="AC42" s="108" t="str">
        <f t="shared" si="16"/>
        <v/>
      </c>
      <c r="AD42" s="109" t="str">
        <f t="shared" si="1"/>
        <v/>
      </c>
      <c r="AE42" s="110" t="str">
        <f t="shared" si="2"/>
        <v/>
      </c>
      <c r="AF42" s="95"/>
      <c r="AG42" s="108" t="str">
        <f t="shared" si="3"/>
        <v/>
      </c>
      <c r="AH42" s="111" t="str">
        <f t="shared" si="9"/>
        <v/>
      </c>
      <c r="AI42" s="96"/>
      <c r="AJ42" s="109"/>
      <c r="AK42" s="110"/>
      <c r="AL42" s="109"/>
      <c r="AM42" s="149"/>
      <c r="AO42" s="68"/>
      <c r="AP42" s="154" t="str">
        <f t="shared" si="11"/>
        <v>pIG037</v>
      </c>
      <c r="AQ42" s="154">
        <f t="shared" si="12"/>
        <v>0</v>
      </c>
      <c r="AR42" s="155">
        <f t="shared" si="13"/>
        <v>0</v>
      </c>
      <c r="AS42" s="153">
        <f t="shared" si="14"/>
        <v>0</v>
      </c>
      <c r="AT42" s="118">
        <f t="shared" si="15"/>
        <v>0</v>
      </c>
    </row>
    <row r="43" spans="1:46" s="59" customFormat="1" ht="14.4" x14ac:dyDescent="0.55000000000000004">
      <c r="A43" s="78"/>
      <c r="B43" s="170" t="s">
        <v>518</v>
      </c>
      <c r="C43" s="18"/>
      <c r="D43" s="100"/>
      <c r="E43" s="99"/>
      <c r="F43" s="70"/>
      <c r="G43" s="70"/>
      <c r="H43" s="59" t="s">
        <v>33</v>
      </c>
      <c r="I43" s="88"/>
      <c r="J43" s="88"/>
      <c r="K43" s="88"/>
      <c r="L43" s="88"/>
      <c r="M43" s="88"/>
      <c r="N43" s="88"/>
      <c r="O43" s="88"/>
      <c r="P43" s="88"/>
      <c r="Q43" s="61"/>
      <c r="R43" s="73"/>
      <c r="S43" s="65" t="e">
        <f t="shared" ca="1" si="8"/>
        <v>#NAME?</v>
      </c>
      <c r="T43" s="80"/>
      <c r="V43" s="113" t="str">
        <f t="shared" si="6"/>
        <v>pIG038  ()</v>
      </c>
      <c r="X43" s="98"/>
      <c r="Y43" s="128">
        <f t="shared" si="17"/>
        <v>0</v>
      </c>
      <c r="Z43" s="131"/>
      <c r="AA43" s="107"/>
      <c r="AB43" s="107"/>
      <c r="AC43" s="108" t="str">
        <f t="shared" si="16"/>
        <v/>
      </c>
      <c r="AD43" s="109" t="str">
        <f t="shared" si="1"/>
        <v/>
      </c>
      <c r="AE43" s="110" t="str">
        <f t="shared" si="2"/>
        <v/>
      </c>
      <c r="AF43" s="95"/>
      <c r="AG43" s="108" t="str">
        <f t="shared" si="3"/>
        <v/>
      </c>
      <c r="AH43" s="111" t="str">
        <f t="shared" si="9"/>
        <v/>
      </c>
      <c r="AI43" s="96"/>
      <c r="AJ43" s="109"/>
      <c r="AK43" s="110"/>
      <c r="AL43" s="109"/>
      <c r="AM43" s="149"/>
      <c r="AO43" s="68"/>
      <c r="AP43" s="154" t="str">
        <f t="shared" si="11"/>
        <v>pIG038</v>
      </c>
      <c r="AQ43" s="154">
        <f t="shared" si="12"/>
        <v>0</v>
      </c>
      <c r="AR43" s="155">
        <f t="shared" si="13"/>
        <v>0</v>
      </c>
      <c r="AS43" s="153">
        <f t="shared" si="14"/>
        <v>0</v>
      </c>
      <c r="AT43" s="118">
        <f t="shared" si="15"/>
        <v>0</v>
      </c>
    </row>
    <row r="44" spans="1:46" s="59" customFormat="1" ht="14.4" x14ac:dyDescent="0.55000000000000004">
      <c r="A44" s="78"/>
      <c r="B44" s="170" t="s">
        <v>519</v>
      </c>
      <c r="C44" s="18"/>
      <c r="D44" s="100"/>
      <c r="E44" s="99"/>
      <c r="F44" s="70"/>
      <c r="G44" s="70"/>
      <c r="H44" s="59" t="s">
        <v>33</v>
      </c>
      <c r="I44" s="88"/>
      <c r="J44" s="88"/>
      <c r="K44" s="88"/>
      <c r="L44" s="88"/>
      <c r="M44" s="88"/>
      <c r="N44" s="88"/>
      <c r="O44" s="88"/>
      <c r="P44" s="88"/>
      <c r="Q44" s="61"/>
      <c r="R44" s="73"/>
      <c r="S44" s="65" t="e">
        <f t="shared" ca="1" si="8"/>
        <v>#NAME?</v>
      </c>
      <c r="V44" s="113" t="str">
        <f t="shared" si="6"/>
        <v>pIG039  ()</v>
      </c>
      <c r="X44" s="98"/>
      <c r="Y44" s="128">
        <f t="shared" si="17"/>
        <v>0</v>
      </c>
      <c r="Z44" s="131"/>
      <c r="AA44" s="107"/>
      <c r="AB44" s="107"/>
      <c r="AC44" s="108" t="str">
        <f t="shared" si="16"/>
        <v/>
      </c>
      <c r="AD44" s="109" t="str">
        <f t="shared" si="1"/>
        <v/>
      </c>
      <c r="AE44" s="110" t="str">
        <f t="shared" si="2"/>
        <v/>
      </c>
      <c r="AF44" s="95"/>
      <c r="AG44" s="108" t="str">
        <f t="shared" si="3"/>
        <v/>
      </c>
      <c r="AH44" s="111" t="str">
        <f t="shared" si="9"/>
        <v/>
      </c>
      <c r="AI44" s="96"/>
      <c r="AJ44" s="109"/>
      <c r="AK44" s="110"/>
      <c r="AL44" s="109"/>
      <c r="AM44" s="149"/>
      <c r="AO44" s="68"/>
      <c r="AP44" s="154" t="str">
        <f t="shared" si="11"/>
        <v>pIG039</v>
      </c>
      <c r="AQ44" s="154">
        <f t="shared" si="12"/>
        <v>0</v>
      </c>
      <c r="AR44" s="155">
        <f t="shared" si="13"/>
        <v>0</v>
      </c>
      <c r="AS44" s="153">
        <f t="shared" si="14"/>
        <v>0</v>
      </c>
      <c r="AT44" s="118">
        <f t="shared" si="15"/>
        <v>0</v>
      </c>
    </row>
    <row r="45" spans="1:46" s="59" customFormat="1" ht="14.4" x14ac:dyDescent="0.55000000000000004">
      <c r="A45" s="78"/>
      <c r="B45" s="170" t="s">
        <v>520</v>
      </c>
      <c r="C45" s="70"/>
      <c r="D45" s="79"/>
      <c r="E45" s="72"/>
      <c r="F45" s="70"/>
      <c r="G45" s="70"/>
      <c r="H45" s="59" t="s">
        <v>33</v>
      </c>
      <c r="I45" s="88"/>
      <c r="J45" s="88"/>
      <c r="K45" s="88"/>
      <c r="L45" s="88"/>
      <c r="M45" s="88"/>
      <c r="N45" s="88"/>
      <c r="O45" s="88"/>
      <c r="P45" s="88"/>
      <c r="Q45" s="61"/>
      <c r="R45" s="73"/>
      <c r="S45" s="65" t="e">
        <f t="shared" ca="1" si="8"/>
        <v>#NAME?</v>
      </c>
      <c r="T45" s="76"/>
      <c r="U45" s="76"/>
      <c r="V45" s="113" t="str">
        <f t="shared" si="6"/>
        <v>pIG040  ()</v>
      </c>
      <c r="X45" s="98"/>
      <c r="Y45" s="128">
        <f t="shared" si="17"/>
        <v>0</v>
      </c>
      <c r="Z45" s="131"/>
      <c r="AA45" s="107"/>
      <c r="AB45" s="107"/>
      <c r="AC45" s="108" t="str">
        <f t="shared" si="16"/>
        <v/>
      </c>
      <c r="AD45" s="109" t="str">
        <f t="shared" si="1"/>
        <v/>
      </c>
      <c r="AE45" s="110" t="str">
        <f t="shared" si="2"/>
        <v/>
      </c>
      <c r="AF45" s="95"/>
      <c r="AG45" s="108" t="str">
        <f t="shared" si="3"/>
        <v/>
      </c>
      <c r="AH45" s="111" t="str">
        <f t="shared" si="9"/>
        <v/>
      </c>
      <c r="AI45" s="96"/>
      <c r="AJ45" s="109"/>
      <c r="AK45" s="110"/>
      <c r="AL45" s="109"/>
      <c r="AM45" s="149"/>
      <c r="AO45" s="68"/>
      <c r="AP45" s="154" t="str">
        <f t="shared" si="11"/>
        <v>pIG040</v>
      </c>
      <c r="AQ45" s="154">
        <f t="shared" si="12"/>
        <v>0</v>
      </c>
      <c r="AR45" s="155">
        <f t="shared" si="13"/>
        <v>0</v>
      </c>
      <c r="AS45" s="153">
        <f t="shared" si="14"/>
        <v>0</v>
      </c>
      <c r="AT45" s="118">
        <f t="shared" si="15"/>
        <v>0</v>
      </c>
    </row>
    <row r="46" spans="1:46" s="59" customFormat="1" ht="14.4" x14ac:dyDescent="0.55000000000000004">
      <c r="A46" s="78"/>
      <c r="B46" s="170" t="s">
        <v>521</v>
      </c>
      <c r="C46" s="70"/>
      <c r="D46" s="70"/>
      <c r="E46" s="70"/>
      <c r="F46" s="72"/>
      <c r="G46" s="72"/>
      <c r="H46" s="59" t="s">
        <v>33</v>
      </c>
      <c r="I46" s="88"/>
      <c r="J46" s="88"/>
      <c r="K46" s="88"/>
      <c r="L46" s="88"/>
      <c r="M46" s="88"/>
      <c r="N46" s="88"/>
      <c r="O46" s="88"/>
      <c r="P46" s="88"/>
      <c r="Q46" s="61"/>
      <c r="R46" s="73"/>
      <c r="S46" s="65" t="e">
        <f t="shared" ca="1" si="8"/>
        <v>#NAME?</v>
      </c>
      <c r="T46" s="80"/>
      <c r="U46" s="74"/>
      <c r="V46" s="113" t="str">
        <f t="shared" si="6"/>
        <v>pIG041  ()</v>
      </c>
      <c r="X46" s="98"/>
      <c r="Y46" s="128">
        <f t="shared" si="17"/>
        <v>0</v>
      </c>
      <c r="Z46" s="131"/>
      <c r="AA46" s="107"/>
      <c r="AB46" s="107"/>
      <c r="AC46" s="108" t="str">
        <f t="shared" si="16"/>
        <v/>
      </c>
      <c r="AD46" s="109" t="str">
        <f t="shared" si="1"/>
        <v/>
      </c>
      <c r="AE46" s="110" t="str">
        <f t="shared" si="2"/>
        <v/>
      </c>
      <c r="AF46" s="95"/>
      <c r="AG46" s="108" t="str">
        <f t="shared" si="3"/>
        <v/>
      </c>
      <c r="AH46" s="111" t="str">
        <f t="shared" si="9"/>
        <v/>
      </c>
      <c r="AI46" s="96"/>
      <c r="AJ46" s="109"/>
      <c r="AK46" s="110"/>
      <c r="AL46" s="109"/>
      <c r="AM46" s="149"/>
      <c r="AO46" s="68"/>
      <c r="AP46" s="154" t="str">
        <f t="shared" si="11"/>
        <v>pIG041</v>
      </c>
      <c r="AQ46" s="154">
        <f t="shared" si="12"/>
        <v>0</v>
      </c>
      <c r="AR46" s="155">
        <f t="shared" si="13"/>
        <v>0</v>
      </c>
      <c r="AS46" s="153">
        <f t="shared" si="14"/>
        <v>0</v>
      </c>
      <c r="AT46" s="118">
        <f t="shared" si="15"/>
        <v>0</v>
      </c>
    </row>
    <row r="47" spans="1:46" s="59" customFormat="1" ht="14.4" x14ac:dyDescent="0.55000000000000004">
      <c r="A47" s="78"/>
      <c r="B47" s="170" t="s">
        <v>522</v>
      </c>
      <c r="C47" s="70"/>
      <c r="D47" s="70"/>
      <c r="E47" s="70"/>
      <c r="F47" s="72"/>
      <c r="G47" s="72"/>
      <c r="H47" s="59" t="s">
        <v>33</v>
      </c>
      <c r="I47" s="88"/>
      <c r="J47" s="88"/>
      <c r="K47" s="88"/>
      <c r="L47" s="88"/>
      <c r="M47" s="88"/>
      <c r="N47" s="88"/>
      <c r="O47" s="88"/>
      <c r="P47" s="88"/>
      <c r="Q47" s="61"/>
      <c r="R47" s="73"/>
      <c r="S47" s="65" t="e">
        <f t="shared" ca="1" si="8"/>
        <v>#NAME?</v>
      </c>
      <c r="T47" s="76"/>
      <c r="U47" s="74"/>
      <c r="V47" s="113" t="str">
        <f t="shared" si="6"/>
        <v>pIG042  ()</v>
      </c>
      <c r="X47" s="98"/>
      <c r="Y47" s="128">
        <f t="shared" si="17"/>
        <v>0</v>
      </c>
      <c r="Z47" s="131"/>
      <c r="AA47" s="107"/>
      <c r="AB47" s="107"/>
      <c r="AC47" s="108" t="str">
        <f t="shared" si="16"/>
        <v/>
      </c>
      <c r="AD47" s="109" t="str">
        <f t="shared" si="1"/>
        <v/>
      </c>
      <c r="AE47" s="110" t="str">
        <f t="shared" si="2"/>
        <v/>
      </c>
      <c r="AF47" s="95"/>
      <c r="AG47" s="108" t="str">
        <f t="shared" si="3"/>
        <v/>
      </c>
      <c r="AH47" s="111" t="str">
        <f t="shared" si="9"/>
        <v/>
      </c>
      <c r="AI47" s="96"/>
      <c r="AJ47" s="109"/>
      <c r="AK47" s="110"/>
      <c r="AL47" s="109"/>
      <c r="AM47" s="149"/>
      <c r="AO47" s="68"/>
      <c r="AP47" s="154" t="str">
        <f t="shared" si="11"/>
        <v>pIG042</v>
      </c>
      <c r="AQ47" s="154">
        <f t="shared" si="12"/>
        <v>0</v>
      </c>
      <c r="AR47" s="155">
        <f t="shared" si="13"/>
        <v>0</v>
      </c>
      <c r="AS47" s="153">
        <f t="shared" si="14"/>
        <v>0</v>
      </c>
      <c r="AT47" s="118">
        <f t="shared" si="15"/>
        <v>0</v>
      </c>
    </row>
    <row r="48" spans="1:46" s="59" customFormat="1" ht="14.4" x14ac:dyDescent="0.55000000000000004">
      <c r="A48" s="78"/>
      <c r="B48" s="170" t="s">
        <v>523</v>
      </c>
      <c r="C48" s="70"/>
      <c r="D48" s="70"/>
      <c r="E48" s="70"/>
      <c r="F48" s="72"/>
      <c r="G48" s="72"/>
      <c r="H48" s="59" t="s">
        <v>33</v>
      </c>
      <c r="I48" s="88"/>
      <c r="J48" s="88"/>
      <c r="K48" s="88"/>
      <c r="L48" s="88"/>
      <c r="M48" s="88"/>
      <c r="N48" s="88"/>
      <c r="O48" s="88"/>
      <c r="P48" s="88"/>
      <c r="Q48" s="61"/>
      <c r="R48" s="73"/>
      <c r="S48" s="65" t="e">
        <f t="shared" ca="1" si="8"/>
        <v>#NAME?</v>
      </c>
      <c r="U48" s="74"/>
      <c r="V48" s="113" t="str">
        <f t="shared" si="6"/>
        <v>pIG043  ()</v>
      </c>
      <c r="X48" s="98"/>
      <c r="Y48" s="128">
        <f t="shared" si="17"/>
        <v>0</v>
      </c>
      <c r="Z48" s="131"/>
      <c r="AA48" s="107"/>
      <c r="AB48" s="107"/>
      <c r="AC48" s="108" t="str">
        <f t="shared" si="16"/>
        <v/>
      </c>
      <c r="AD48" s="109" t="str">
        <f t="shared" si="1"/>
        <v/>
      </c>
      <c r="AE48" s="110" t="str">
        <f t="shared" si="2"/>
        <v/>
      </c>
      <c r="AF48" s="95"/>
      <c r="AG48" s="108" t="str">
        <f t="shared" si="3"/>
        <v/>
      </c>
      <c r="AH48" s="111" t="str">
        <f t="shared" si="9"/>
        <v/>
      </c>
      <c r="AI48" s="96"/>
      <c r="AJ48" s="109"/>
      <c r="AK48" s="110"/>
      <c r="AL48" s="109"/>
      <c r="AM48" s="149"/>
      <c r="AO48" s="68"/>
      <c r="AP48" s="154" t="str">
        <f t="shared" si="11"/>
        <v>pIG043</v>
      </c>
      <c r="AQ48" s="154">
        <f t="shared" si="12"/>
        <v>0</v>
      </c>
      <c r="AR48" s="155">
        <f t="shared" si="13"/>
        <v>0</v>
      </c>
      <c r="AS48" s="153">
        <f t="shared" si="14"/>
        <v>0</v>
      </c>
      <c r="AT48" s="118">
        <f t="shared" si="15"/>
        <v>0</v>
      </c>
    </row>
    <row r="49" spans="1:46" s="59" customFormat="1" ht="14.4" x14ac:dyDescent="0.55000000000000004">
      <c r="A49" s="78"/>
      <c r="B49" s="170" t="s">
        <v>524</v>
      </c>
      <c r="C49" s="70"/>
      <c r="D49" s="70"/>
      <c r="E49" s="70"/>
      <c r="F49" s="72"/>
      <c r="G49" s="72"/>
      <c r="H49" s="59" t="s">
        <v>33</v>
      </c>
      <c r="I49" s="88"/>
      <c r="J49" s="88"/>
      <c r="K49" s="88"/>
      <c r="L49" s="88"/>
      <c r="M49" s="88"/>
      <c r="N49" s="88"/>
      <c r="O49" s="88"/>
      <c r="P49" s="88"/>
      <c r="Q49" s="61"/>
      <c r="R49" s="73"/>
      <c r="S49" s="65" t="e">
        <f t="shared" ca="1" si="8"/>
        <v>#NAME?</v>
      </c>
      <c r="U49" s="74"/>
      <c r="V49" s="113" t="str">
        <f t="shared" si="6"/>
        <v>pIG044  ()</v>
      </c>
      <c r="X49" s="98"/>
      <c r="Y49" s="128">
        <f t="shared" si="17"/>
        <v>0</v>
      </c>
      <c r="Z49" s="131"/>
      <c r="AA49" s="107"/>
      <c r="AB49" s="107"/>
      <c r="AC49" s="108" t="str">
        <f t="shared" si="16"/>
        <v/>
      </c>
      <c r="AD49" s="109" t="str">
        <f t="shared" si="1"/>
        <v/>
      </c>
      <c r="AE49" s="110" t="str">
        <f t="shared" si="2"/>
        <v/>
      </c>
      <c r="AF49" s="95"/>
      <c r="AG49" s="108" t="str">
        <f t="shared" si="3"/>
        <v/>
      </c>
      <c r="AH49" s="111" t="str">
        <f t="shared" si="9"/>
        <v/>
      </c>
      <c r="AI49" s="96"/>
      <c r="AJ49" s="109"/>
      <c r="AK49" s="110"/>
      <c r="AL49" s="109"/>
      <c r="AM49" s="149"/>
      <c r="AO49" s="68"/>
      <c r="AP49" s="154" t="str">
        <f t="shared" si="11"/>
        <v>pIG044</v>
      </c>
      <c r="AQ49" s="154">
        <f t="shared" si="12"/>
        <v>0</v>
      </c>
      <c r="AR49" s="155">
        <f t="shared" si="13"/>
        <v>0</v>
      </c>
      <c r="AS49" s="153">
        <f t="shared" si="14"/>
        <v>0</v>
      </c>
      <c r="AT49" s="118">
        <f t="shared" si="15"/>
        <v>0</v>
      </c>
    </row>
    <row r="50" spans="1:46" s="59" customFormat="1" ht="14.4" x14ac:dyDescent="0.55000000000000004">
      <c r="A50" s="78"/>
      <c r="B50" s="170" t="s">
        <v>525</v>
      </c>
      <c r="C50" s="94"/>
      <c r="D50" s="70"/>
      <c r="E50" s="117"/>
      <c r="F50" s="70"/>
      <c r="G50" s="70"/>
      <c r="H50" s="59" t="s">
        <v>33</v>
      </c>
      <c r="I50" s="88"/>
      <c r="J50" s="88"/>
      <c r="K50" s="88"/>
      <c r="L50" s="88"/>
      <c r="M50" s="88"/>
      <c r="N50" s="88"/>
      <c r="O50" s="88"/>
      <c r="P50" s="88"/>
      <c r="Q50" s="61"/>
      <c r="R50" s="73"/>
      <c r="S50" s="65" t="e">
        <f t="shared" ca="1" si="8"/>
        <v>#NAME?</v>
      </c>
      <c r="T50" s="87"/>
      <c r="U50" s="112"/>
      <c r="V50" s="113" t="str">
        <f t="shared" si="6"/>
        <v>pIG045  ()</v>
      </c>
      <c r="X50" s="98"/>
      <c r="Y50" s="128">
        <f t="shared" si="17"/>
        <v>0</v>
      </c>
      <c r="Z50" s="131"/>
      <c r="AA50" s="107"/>
      <c r="AB50" s="107"/>
      <c r="AC50" s="108" t="str">
        <f t="shared" si="16"/>
        <v/>
      </c>
      <c r="AD50" s="109" t="str">
        <f t="shared" si="1"/>
        <v/>
      </c>
      <c r="AE50" s="110" t="str">
        <f t="shared" si="2"/>
        <v/>
      </c>
      <c r="AF50" s="95"/>
      <c r="AG50" s="108" t="str">
        <f t="shared" si="3"/>
        <v/>
      </c>
      <c r="AH50" s="111" t="str">
        <f t="shared" si="9"/>
        <v/>
      </c>
      <c r="AI50" s="96"/>
      <c r="AJ50" s="109"/>
      <c r="AK50" s="110"/>
      <c r="AL50" s="109"/>
      <c r="AM50" s="149"/>
      <c r="AO50" s="68"/>
      <c r="AP50" s="154" t="str">
        <f t="shared" si="11"/>
        <v>pIG045</v>
      </c>
      <c r="AQ50" s="154">
        <f t="shared" si="12"/>
        <v>0</v>
      </c>
      <c r="AR50" s="155">
        <f t="shared" si="13"/>
        <v>0</v>
      </c>
      <c r="AS50" s="153">
        <f t="shared" si="14"/>
        <v>0</v>
      </c>
      <c r="AT50" s="118">
        <f t="shared" si="15"/>
        <v>0</v>
      </c>
    </row>
    <row r="51" spans="1:46" s="59" customFormat="1" ht="14.4" x14ac:dyDescent="0.55000000000000004">
      <c r="A51" s="78"/>
      <c r="B51" s="170" t="s">
        <v>526</v>
      </c>
      <c r="C51" s="94"/>
      <c r="D51" s="94"/>
      <c r="E51" s="94"/>
      <c r="F51" s="94"/>
      <c r="G51" s="94"/>
      <c r="H51" s="59" t="s">
        <v>33</v>
      </c>
      <c r="I51" s="88"/>
      <c r="J51" s="88"/>
      <c r="K51" s="88"/>
      <c r="L51" s="88"/>
      <c r="M51" s="88"/>
      <c r="N51" s="88"/>
      <c r="O51" s="88"/>
      <c r="P51" s="88"/>
      <c r="Q51" s="61"/>
      <c r="R51" s="73"/>
      <c r="S51" s="65" t="e">
        <f t="shared" ca="1" si="8"/>
        <v>#NAME?</v>
      </c>
      <c r="T51" s="87"/>
      <c r="U51" s="112"/>
      <c r="V51" s="113" t="str">
        <f t="shared" si="6"/>
        <v>pIG046  ()</v>
      </c>
      <c r="X51" s="98"/>
      <c r="Y51" s="128">
        <f t="shared" si="17"/>
        <v>0</v>
      </c>
      <c r="Z51" s="131"/>
      <c r="AA51" s="107"/>
      <c r="AB51" s="107"/>
      <c r="AC51" s="108" t="str">
        <f t="shared" si="16"/>
        <v/>
      </c>
      <c r="AD51" s="109" t="str">
        <f t="shared" si="1"/>
        <v/>
      </c>
      <c r="AE51" s="110" t="str">
        <f t="shared" si="2"/>
        <v/>
      </c>
      <c r="AF51" s="95"/>
      <c r="AG51" s="108" t="str">
        <f t="shared" si="3"/>
        <v/>
      </c>
      <c r="AH51" s="111" t="str">
        <f t="shared" si="9"/>
        <v/>
      </c>
      <c r="AI51" s="96"/>
      <c r="AJ51" s="109"/>
      <c r="AK51" s="110"/>
      <c r="AL51" s="109"/>
      <c r="AM51" s="150"/>
      <c r="AO51" s="68"/>
      <c r="AP51" s="154" t="str">
        <f t="shared" si="11"/>
        <v>pIG046</v>
      </c>
      <c r="AQ51" s="154">
        <f t="shared" si="12"/>
        <v>0</v>
      </c>
      <c r="AR51" s="155">
        <f t="shared" si="13"/>
        <v>0</v>
      </c>
      <c r="AS51" s="153">
        <f t="shared" si="14"/>
        <v>0</v>
      </c>
      <c r="AT51" s="118">
        <f t="shared" si="15"/>
        <v>0</v>
      </c>
    </row>
    <row r="52" spans="1:46" s="59" customFormat="1" ht="14.4" x14ac:dyDescent="0.55000000000000004">
      <c r="A52" s="78"/>
      <c r="B52" s="170" t="s">
        <v>527</v>
      </c>
      <c r="C52" s="94"/>
      <c r="D52" s="94"/>
      <c r="E52" s="89"/>
      <c r="F52" s="70"/>
      <c r="G52" s="70"/>
      <c r="H52" s="59" t="s">
        <v>33</v>
      </c>
      <c r="I52" s="88"/>
      <c r="J52" s="88"/>
      <c r="K52" s="88"/>
      <c r="L52" s="88"/>
      <c r="M52" s="88"/>
      <c r="N52" s="88"/>
      <c r="O52" s="88"/>
      <c r="P52" s="88"/>
      <c r="Q52" s="61"/>
      <c r="R52" s="73"/>
      <c r="S52" s="65" t="e">
        <f t="shared" ca="1" si="8"/>
        <v>#NAME?</v>
      </c>
      <c r="T52" s="112"/>
      <c r="U52" s="74"/>
      <c r="V52" s="113" t="str">
        <f t="shared" si="6"/>
        <v>pIG047  ()</v>
      </c>
      <c r="X52" s="98"/>
      <c r="Y52" s="128">
        <f t="shared" si="17"/>
        <v>0</v>
      </c>
      <c r="Z52" s="131"/>
      <c r="AA52" s="107"/>
      <c r="AB52" s="107"/>
      <c r="AC52" s="108" t="str">
        <f t="shared" si="16"/>
        <v/>
      </c>
      <c r="AD52" s="109" t="str">
        <f t="shared" si="1"/>
        <v/>
      </c>
      <c r="AE52" s="110" t="str">
        <f t="shared" si="2"/>
        <v/>
      </c>
      <c r="AF52" s="95"/>
      <c r="AG52" s="108" t="str">
        <f t="shared" si="3"/>
        <v/>
      </c>
      <c r="AH52" s="111" t="str">
        <f t="shared" si="9"/>
        <v/>
      </c>
      <c r="AI52" s="96"/>
      <c r="AJ52" s="109"/>
      <c r="AK52" s="110"/>
      <c r="AL52" s="109"/>
      <c r="AM52" s="149"/>
      <c r="AO52" s="68"/>
      <c r="AP52" s="154" t="str">
        <f t="shared" si="11"/>
        <v>pIG047</v>
      </c>
      <c r="AQ52" s="154">
        <f t="shared" si="12"/>
        <v>0</v>
      </c>
      <c r="AR52" s="155">
        <f t="shared" si="13"/>
        <v>0</v>
      </c>
      <c r="AS52" s="153">
        <f t="shared" si="14"/>
        <v>0</v>
      </c>
      <c r="AT52" s="118">
        <f t="shared" si="15"/>
        <v>0</v>
      </c>
    </row>
    <row r="53" spans="1:46" s="59" customFormat="1" ht="14.4" x14ac:dyDescent="0.55000000000000004">
      <c r="A53" s="78"/>
      <c r="B53" s="170" t="s">
        <v>528</v>
      </c>
      <c r="C53" s="94"/>
      <c r="D53" s="94"/>
      <c r="E53" s="94"/>
      <c r="F53" s="70"/>
      <c r="G53" s="70"/>
      <c r="H53" s="59" t="s">
        <v>33</v>
      </c>
      <c r="I53" s="88"/>
      <c r="J53" s="88"/>
      <c r="K53" s="88"/>
      <c r="L53" s="88"/>
      <c r="M53" s="88"/>
      <c r="N53" s="88"/>
      <c r="O53" s="88"/>
      <c r="P53" s="88"/>
      <c r="Q53" s="61"/>
      <c r="R53" s="73"/>
      <c r="S53" s="65" t="e">
        <f t="shared" ca="1" si="8"/>
        <v>#NAME?</v>
      </c>
      <c r="T53" s="87"/>
      <c r="U53" s="112"/>
      <c r="V53" s="113" t="str">
        <f t="shared" si="6"/>
        <v>pIG048  ()</v>
      </c>
      <c r="X53" s="98"/>
      <c r="Y53" s="128">
        <f t="shared" si="17"/>
        <v>0</v>
      </c>
      <c r="Z53" s="131"/>
      <c r="AA53" s="107"/>
      <c r="AB53" s="107"/>
      <c r="AC53" s="108" t="str">
        <f t="shared" si="16"/>
        <v/>
      </c>
      <c r="AD53" s="109" t="str">
        <f t="shared" si="1"/>
        <v/>
      </c>
      <c r="AE53" s="110" t="str">
        <f t="shared" si="2"/>
        <v/>
      </c>
      <c r="AF53" s="95"/>
      <c r="AG53" s="108" t="str">
        <f t="shared" si="3"/>
        <v/>
      </c>
      <c r="AH53" s="111" t="str">
        <f t="shared" si="9"/>
        <v/>
      </c>
      <c r="AI53" s="96"/>
      <c r="AJ53" s="109"/>
      <c r="AK53" s="110"/>
      <c r="AL53" s="109"/>
      <c r="AM53" s="149"/>
      <c r="AO53" s="68"/>
      <c r="AP53" s="154" t="str">
        <f t="shared" si="11"/>
        <v>pIG048</v>
      </c>
      <c r="AQ53" s="154">
        <f t="shared" si="12"/>
        <v>0</v>
      </c>
      <c r="AR53" s="155">
        <f t="shared" si="13"/>
        <v>0</v>
      </c>
      <c r="AS53" s="153">
        <f t="shared" si="14"/>
        <v>0</v>
      </c>
      <c r="AT53" s="118">
        <f t="shared" si="15"/>
        <v>0</v>
      </c>
    </row>
    <row r="54" spans="1:46" s="59" customFormat="1" ht="14.4" x14ac:dyDescent="0.55000000000000004">
      <c r="A54" s="78"/>
      <c r="B54" s="170" t="s">
        <v>529</v>
      </c>
      <c r="C54" s="94"/>
      <c r="D54" s="94"/>
      <c r="E54" s="94"/>
      <c r="F54" s="70"/>
      <c r="G54" s="70"/>
      <c r="H54" s="59" t="s">
        <v>33</v>
      </c>
      <c r="I54" s="88"/>
      <c r="J54" s="88"/>
      <c r="K54" s="88"/>
      <c r="L54" s="88"/>
      <c r="M54" s="88"/>
      <c r="N54" s="88"/>
      <c r="O54" s="88"/>
      <c r="P54" s="88"/>
      <c r="Q54" s="61"/>
      <c r="R54" s="73"/>
      <c r="S54" s="65" t="e">
        <f t="shared" ca="1" si="8"/>
        <v>#NAME?</v>
      </c>
      <c r="T54" s="87"/>
      <c r="U54" s="112"/>
      <c r="V54" s="113" t="str">
        <f t="shared" si="6"/>
        <v>pIG049  ()</v>
      </c>
      <c r="X54" s="98"/>
      <c r="Y54" s="128">
        <f t="shared" si="17"/>
        <v>0</v>
      </c>
      <c r="Z54" s="131"/>
      <c r="AA54" s="107"/>
      <c r="AB54" s="107"/>
      <c r="AC54" s="108" t="str">
        <f t="shared" si="16"/>
        <v/>
      </c>
      <c r="AD54" s="109" t="str">
        <f t="shared" si="1"/>
        <v/>
      </c>
      <c r="AE54" s="110" t="str">
        <f t="shared" si="2"/>
        <v/>
      </c>
      <c r="AF54" s="95"/>
      <c r="AG54" s="108" t="str">
        <f t="shared" si="3"/>
        <v/>
      </c>
      <c r="AH54" s="111" t="str">
        <f t="shared" si="9"/>
        <v/>
      </c>
      <c r="AI54" s="96"/>
      <c r="AJ54" s="109"/>
      <c r="AK54" s="110"/>
      <c r="AL54" s="109"/>
      <c r="AM54" s="150"/>
      <c r="AO54" s="68"/>
      <c r="AP54" s="154" t="str">
        <f t="shared" si="11"/>
        <v>pIG049</v>
      </c>
      <c r="AQ54" s="154">
        <f t="shared" si="12"/>
        <v>0</v>
      </c>
      <c r="AR54" s="155">
        <f t="shared" si="13"/>
        <v>0</v>
      </c>
      <c r="AS54" s="153">
        <f t="shared" si="14"/>
        <v>0</v>
      </c>
      <c r="AT54" s="118">
        <f t="shared" si="15"/>
        <v>0</v>
      </c>
    </row>
    <row r="55" spans="1:46" s="59" customFormat="1" ht="14.4" x14ac:dyDescent="0.55000000000000004">
      <c r="A55" s="78"/>
      <c r="B55" s="170" t="s">
        <v>530</v>
      </c>
      <c r="C55" s="18"/>
      <c r="D55" s="70"/>
      <c r="E55" s="18"/>
      <c r="F55" s="70"/>
      <c r="G55" s="70"/>
      <c r="H55" s="59" t="s">
        <v>33</v>
      </c>
      <c r="I55" s="88"/>
      <c r="J55" s="88"/>
      <c r="K55" s="88"/>
      <c r="L55" s="88"/>
      <c r="M55" s="88"/>
      <c r="N55" s="88"/>
      <c r="O55" s="88"/>
      <c r="P55" s="88"/>
      <c r="Q55" s="61"/>
      <c r="R55" s="73"/>
      <c r="S55" s="65" t="e">
        <f t="shared" ca="1" si="8"/>
        <v>#NAME?</v>
      </c>
      <c r="T55" s="80"/>
      <c r="V55" s="113" t="str">
        <f t="shared" si="6"/>
        <v>pIG050  ()</v>
      </c>
      <c r="X55" s="98"/>
      <c r="Y55" s="128">
        <f t="shared" si="17"/>
        <v>0</v>
      </c>
      <c r="Z55" s="131"/>
      <c r="AA55" s="107"/>
      <c r="AB55" s="107"/>
      <c r="AC55" s="108" t="str">
        <f t="shared" si="16"/>
        <v/>
      </c>
      <c r="AD55" s="109" t="str">
        <f t="shared" si="1"/>
        <v/>
      </c>
      <c r="AE55" s="110" t="str">
        <f t="shared" si="2"/>
        <v/>
      </c>
      <c r="AF55" s="95"/>
      <c r="AG55" s="108" t="str">
        <f t="shared" si="3"/>
        <v/>
      </c>
      <c r="AH55" s="111" t="str">
        <f t="shared" si="9"/>
        <v/>
      </c>
      <c r="AI55" s="96"/>
      <c r="AJ55" s="109"/>
      <c r="AK55" s="110"/>
      <c r="AL55" s="109"/>
      <c r="AM55" s="149"/>
      <c r="AO55" s="68"/>
      <c r="AP55" s="154" t="str">
        <f t="shared" si="11"/>
        <v>pIG050</v>
      </c>
      <c r="AQ55" s="154">
        <f t="shared" si="12"/>
        <v>0</v>
      </c>
      <c r="AR55" s="155">
        <f t="shared" si="13"/>
        <v>0</v>
      </c>
      <c r="AS55" s="153">
        <f t="shared" si="14"/>
        <v>0</v>
      </c>
      <c r="AT55" s="118">
        <f t="shared" si="15"/>
        <v>0</v>
      </c>
    </row>
    <row r="56" spans="1:46" s="59" customFormat="1" ht="14.4" x14ac:dyDescent="0.55000000000000004">
      <c r="A56" s="81"/>
      <c r="B56" s="170" t="s">
        <v>531</v>
      </c>
      <c r="C56" s="18"/>
      <c r="D56" s="71"/>
      <c r="E56" s="75"/>
      <c r="F56" s="70"/>
      <c r="G56" s="70"/>
      <c r="H56" s="59" t="s">
        <v>33</v>
      </c>
      <c r="I56" s="88"/>
      <c r="J56" s="88"/>
      <c r="K56" s="88"/>
      <c r="L56" s="88"/>
      <c r="M56" s="88"/>
      <c r="N56" s="88"/>
      <c r="O56" s="88"/>
      <c r="P56" s="88"/>
      <c r="Q56" s="61"/>
      <c r="R56" s="73"/>
      <c r="S56" s="65" t="e">
        <f t="shared" ca="1" si="8"/>
        <v>#NAME?</v>
      </c>
      <c r="U56" s="74"/>
      <c r="V56" s="113" t="str">
        <f t="shared" si="6"/>
        <v>pIG051  ()</v>
      </c>
      <c r="X56" s="98"/>
      <c r="Y56" s="128">
        <f t="shared" si="17"/>
        <v>0</v>
      </c>
      <c r="Z56" s="131"/>
      <c r="AA56" s="107"/>
      <c r="AB56" s="107"/>
      <c r="AC56" s="108" t="str">
        <f t="shared" si="16"/>
        <v/>
      </c>
      <c r="AD56" s="109" t="str">
        <f t="shared" si="1"/>
        <v/>
      </c>
      <c r="AE56" s="110" t="str">
        <f t="shared" si="2"/>
        <v/>
      </c>
      <c r="AF56" s="95"/>
      <c r="AG56" s="108" t="str">
        <f t="shared" si="3"/>
        <v/>
      </c>
      <c r="AH56" s="111" t="str">
        <f t="shared" si="9"/>
        <v/>
      </c>
      <c r="AI56" s="96"/>
      <c r="AJ56" s="109"/>
      <c r="AK56" s="110"/>
      <c r="AL56" s="109"/>
      <c r="AM56" s="149"/>
      <c r="AO56" s="68"/>
      <c r="AP56" s="154" t="str">
        <f t="shared" si="11"/>
        <v>pIG051</v>
      </c>
      <c r="AQ56" s="154">
        <f t="shared" si="12"/>
        <v>0</v>
      </c>
      <c r="AR56" s="155">
        <f t="shared" si="13"/>
        <v>0</v>
      </c>
      <c r="AS56" s="153">
        <f t="shared" si="14"/>
        <v>0</v>
      </c>
      <c r="AT56" s="118">
        <f t="shared" si="15"/>
        <v>0</v>
      </c>
    </row>
    <row r="57" spans="1:46" s="83" customFormat="1" ht="14.4" x14ac:dyDescent="0.55000000000000004">
      <c r="A57" s="82"/>
      <c r="B57" s="170" t="s">
        <v>532</v>
      </c>
      <c r="C57" s="18"/>
      <c r="D57" s="71"/>
      <c r="E57" s="75"/>
      <c r="F57" s="70"/>
      <c r="G57" s="70"/>
      <c r="H57" s="59" t="s">
        <v>33</v>
      </c>
      <c r="I57" s="88"/>
      <c r="J57" s="88"/>
      <c r="K57" s="88"/>
      <c r="L57" s="88"/>
      <c r="M57" s="88"/>
      <c r="N57" s="88"/>
      <c r="O57" s="88"/>
      <c r="P57" s="88"/>
      <c r="Q57" s="61"/>
      <c r="R57" s="73"/>
      <c r="S57" s="65" t="e">
        <f t="shared" ca="1" si="8"/>
        <v>#NAME?</v>
      </c>
      <c r="T57" s="76"/>
      <c r="U57" s="74"/>
      <c r="V57" s="113" t="str">
        <f t="shared" si="6"/>
        <v>pIG052  ()</v>
      </c>
      <c r="X57" s="98"/>
      <c r="Y57" s="128">
        <f t="shared" si="17"/>
        <v>0</v>
      </c>
      <c r="Z57" s="131"/>
      <c r="AA57" s="107"/>
      <c r="AB57" s="107"/>
      <c r="AC57" s="108" t="str">
        <f t="shared" si="16"/>
        <v/>
      </c>
      <c r="AD57" s="109" t="str">
        <f t="shared" si="1"/>
        <v/>
      </c>
      <c r="AE57" s="110" t="str">
        <f t="shared" si="2"/>
        <v/>
      </c>
      <c r="AF57" s="95"/>
      <c r="AG57" s="108" t="str">
        <f t="shared" si="3"/>
        <v/>
      </c>
      <c r="AH57" s="111" t="str">
        <f t="shared" si="9"/>
        <v/>
      </c>
      <c r="AI57" s="96"/>
      <c r="AJ57" s="109"/>
      <c r="AK57" s="110"/>
      <c r="AL57" s="109"/>
      <c r="AM57" s="151"/>
      <c r="AO57" s="84"/>
      <c r="AP57" s="154" t="str">
        <f t="shared" si="11"/>
        <v>pIG052</v>
      </c>
      <c r="AQ57" s="154">
        <f t="shared" si="12"/>
        <v>0</v>
      </c>
      <c r="AR57" s="155">
        <f t="shared" si="13"/>
        <v>0</v>
      </c>
      <c r="AS57" s="153">
        <f t="shared" si="14"/>
        <v>0</v>
      </c>
      <c r="AT57" s="118">
        <f t="shared" si="15"/>
        <v>0</v>
      </c>
    </row>
    <row r="58" spans="1:46" s="83" customFormat="1" ht="14.4" x14ac:dyDescent="0.55000000000000004">
      <c r="A58" s="82"/>
      <c r="B58" s="170" t="s">
        <v>533</v>
      </c>
      <c r="C58" s="18"/>
      <c r="D58" s="71"/>
      <c r="E58" s="75"/>
      <c r="F58" s="70"/>
      <c r="G58" s="70"/>
      <c r="H58" s="59" t="s">
        <v>33</v>
      </c>
      <c r="I58" s="88"/>
      <c r="J58" s="88"/>
      <c r="K58" s="88"/>
      <c r="L58" s="88"/>
      <c r="M58" s="88"/>
      <c r="N58" s="88"/>
      <c r="O58" s="88"/>
      <c r="P58" s="88"/>
      <c r="Q58" s="61"/>
      <c r="R58" s="73"/>
      <c r="S58" s="65" t="e">
        <f t="shared" ca="1" si="8"/>
        <v>#NAME?</v>
      </c>
      <c r="T58" s="76"/>
      <c r="U58" s="74"/>
      <c r="V58" s="113" t="str">
        <f t="shared" si="6"/>
        <v>pIG053  ()</v>
      </c>
      <c r="X58" s="98"/>
      <c r="Y58" s="128">
        <f t="shared" si="17"/>
        <v>0</v>
      </c>
      <c r="Z58" s="131"/>
      <c r="AA58" s="107"/>
      <c r="AB58" s="107"/>
      <c r="AC58" s="108" t="str">
        <f t="shared" si="16"/>
        <v/>
      </c>
      <c r="AD58" s="109" t="str">
        <f t="shared" si="1"/>
        <v/>
      </c>
      <c r="AE58" s="110" t="str">
        <f t="shared" si="2"/>
        <v/>
      </c>
      <c r="AF58" s="95"/>
      <c r="AG58" s="108" t="str">
        <f t="shared" si="3"/>
        <v/>
      </c>
      <c r="AH58" s="111" t="str">
        <f t="shared" si="9"/>
        <v/>
      </c>
      <c r="AI58" s="96"/>
      <c r="AJ58" s="109"/>
      <c r="AK58" s="110"/>
      <c r="AL58" s="109"/>
      <c r="AM58" s="151"/>
      <c r="AO58" s="84"/>
      <c r="AP58" s="154" t="str">
        <f t="shared" si="11"/>
        <v>pIG053</v>
      </c>
      <c r="AQ58" s="154">
        <f t="shared" si="12"/>
        <v>0</v>
      </c>
      <c r="AR58" s="155">
        <f t="shared" si="13"/>
        <v>0</v>
      </c>
      <c r="AS58" s="153">
        <f t="shared" si="14"/>
        <v>0</v>
      </c>
      <c r="AT58" s="118">
        <f t="shared" si="15"/>
        <v>0</v>
      </c>
    </row>
    <row r="59" spans="1:46" s="59" customFormat="1" ht="14.4" x14ac:dyDescent="0.55000000000000004">
      <c r="A59" s="69"/>
      <c r="B59" s="170" t="s">
        <v>534</v>
      </c>
      <c r="C59" s="18"/>
      <c r="D59" s="71"/>
      <c r="E59" s="70"/>
      <c r="F59" s="70"/>
      <c r="G59" s="70"/>
      <c r="H59" s="59" t="s">
        <v>33</v>
      </c>
      <c r="I59" s="88"/>
      <c r="J59" s="88"/>
      <c r="K59" s="88"/>
      <c r="L59" s="88"/>
      <c r="M59" s="88"/>
      <c r="N59" s="88"/>
      <c r="O59" s="88"/>
      <c r="P59" s="88"/>
      <c r="Q59" s="61"/>
      <c r="R59" s="73"/>
      <c r="S59" s="65" t="e">
        <f t="shared" ca="1" si="8"/>
        <v>#NAME?</v>
      </c>
      <c r="T59" s="76"/>
      <c r="U59" s="74"/>
      <c r="V59" s="113" t="str">
        <f t="shared" si="6"/>
        <v>pIG054  ()</v>
      </c>
      <c r="X59" s="98"/>
      <c r="Y59" s="128">
        <f t="shared" si="17"/>
        <v>0</v>
      </c>
      <c r="Z59" s="131"/>
      <c r="AA59" s="107"/>
      <c r="AB59" s="107"/>
      <c r="AC59" s="108" t="str">
        <f t="shared" si="16"/>
        <v/>
      </c>
      <c r="AD59" s="109" t="str">
        <f t="shared" si="1"/>
        <v/>
      </c>
      <c r="AE59" s="110" t="str">
        <f t="shared" si="2"/>
        <v/>
      </c>
      <c r="AF59" s="95"/>
      <c r="AG59" s="108" t="str">
        <f t="shared" si="3"/>
        <v/>
      </c>
      <c r="AH59" s="111" t="str">
        <f t="shared" si="9"/>
        <v/>
      </c>
      <c r="AI59" s="96"/>
      <c r="AJ59" s="109"/>
      <c r="AK59" s="110"/>
      <c r="AL59" s="109"/>
      <c r="AM59" s="149"/>
      <c r="AO59" s="68"/>
      <c r="AP59" s="154" t="str">
        <f t="shared" si="11"/>
        <v>pIG054</v>
      </c>
      <c r="AQ59" s="154">
        <f t="shared" si="12"/>
        <v>0</v>
      </c>
      <c r="AR59" s="155">
        <f t="shared" si="13"/>
        <v>0</v>
      </c>
      <c r="AS59" s="153">
        <f t="shared" si="14"/>
        <v>0</v>
      </c>
      <c r="AT59" s="118">
        <f t="shared" si="15"/>
        <v>0</v>
      </c>
    </row>
    <row r="60" spans="1:46" s="59" customFormat="1" ht="14.4" x14ac:dyDescent="0.55000000000000004">
      <c r="A60" s="78"/>
      <c r="B60" s="170" t="s">
        <v>535</v>
      </c>
      <c r="C60" s="18"/>
      <c r="D60" s="71"/>
      <c r="E60" s="72"/>
      <c r="F60" s="70"/>
      <c r="G60" s="70"/>
      <c r="H60" s="59" t="s">
        <v>33</v>
      </c>
      <c r="I60" s="88"/>
      <c r="J60" s="88"/>
      <c r="K60" s="88"/>
      <c r="L60" s="88"/>
      <c r="M60" s="88"/>
      <c r="N60" s="88"/>
      <c r="O60" s="88"/>
      <c r="P60" s="88"/>
      <c r="Q60" s="61"/>
      <c r="R60" s="73"/>
      <c r="S60" s="65" t="e">
        <f t="shared" ca="1" si="8"/>
        <v>#NAME?</v>
      </c>
      <c r="T60" s="74"/>
      <c r="U60" s="74"/>
      <c r="V60" s="113" t="str">
        <f t="shared" si="6"/>
        <v>pIG055  ()</v>
      </c>
      <c r="X60" s="98"/>
      <c r="Y60" s="128">
        <f t="shared" si="17"/>
        <v>0</v>
      </c>
      <c r="Z60" s="131"/>
      <c r="AA60" s="107"/>
      <c r="AB60" s="107"/>
      <c r="AC60" s="108" t="str">
        <f t="shared" si="16"/>
        <v/>
      </c>
      <c r="AD60" s="109" t="str">
        <f t="shared" si="1"/>
        <v/>
      </c>
      <c r="AE60" s="110" t="str">
        <f t="shared" si="2"/>
        <v/>
      </c>
      <c r="AF60" s="95"/>
      <c r="AG60" s="108" t="str">
        <f t="shared" si="3"/>
        <v/>
      </c>
      <c r="AH60" s="111" t="str">
        <f t="shared" si="9"/>
        <v/>
      </c>
      <c r="AI60" s="96"/>
      <c r="AJ60" s="109"/>
      <c r="AK60" s="110"/>
      <c r="AL60" s="109"/>
      <c r="AM60" s="149"/>
      <c r="AO60" s="68"/>
      <c r="AP60" s="154" t="str">
        <f t="shared" si="11"/>
        <v>pIG055</v>
      </c>
      <c r="AQ60" s="154">
        <f t="shared" si="12"/>
        <v>0</v>
      </c>
      <c r="AR60" s="155">
        <f t="shared" si="13"/>
        <v>0</v>
      </c>
      <c r="AS60" s="153">
        <f t="shared" si="14"/>
        <v>0</v>
      </c>
      <c r="AT60" s="118">
        <f t="shared" si="15"/>
        <v>0</v>
      </c>
    </row>
    <row r="61" spans="1:46" s="59" customFormat="1" ht="14.4" x14ac:dyDescent="0.55000000000000004">
      <c r="A61" s="78"/>
      <c r="B61" s="170" t="s">
        <v>536</v>
      </c>
      <c r="C61" s="18"/>
      <c r="D61" s="71"/>
      <c r="E61" s="72"/>
      <c r="F61" s="70"/>
      <c r="G61" s="70"/>
      <c r="H61" s="59" t="s">
        <v>33</v>
      </c>
      <c r="I61" s="88"/>
      <c r="J61" s="88"/>
      <c r="K61" s="88"/>
      <c r="L61" s="88"/>
      <c r="M61" s="88"/>
      <c r="N61" s="88"/>
      <c r="O61" s="88"/>
      <c r="P61" s="88"/>
      <c r="Q61" s="61"/>
      <c r="R61" s="73"/>
      <c r="S61" s="65" t="e">
        <f t="shared" ca="1" si="8"/>
        <v>#NAME?</v>
      </c>
      <c r="T61" s="74"/>
      <c r="U61" s="74"/>
      <c r="V61" s="113" t="str">
        <f t="shared" si="6"/>
        <v>pIG056  ()</v>
      </c>
      <c r="X61" s="98"/>
      <c r="Y61" s="128">
        <f t="shared" si="17"/>
        <v>0</v>
      </c>
      <c r="Z61" s="131"/>
      <c r="AA61" s="107"/>
      <c r="AB61" s="107"/>
      <c r="AC61" s="108" t="str">
        <f t="shared" si="16"/>
        <v/>
      </c>
      <c r="AD61" s="109" t="str">
        <f t="shared" si="1"/>
        <v/>
      </c>
      <c r="AE61" s="110" t="str">
        <f t="shared" si="2"/>
        <v/>
      </c>
      <c r="AF61" s="95"/>
      <c r="AG61" s="108" t="str">
        <f t="shared" si="3"/>
        <v/>
      </c>
      <c r="AH61" s="111" t="str">
        <f t="shared" si="9"/>
        <v/>
      </c>
      <c r="AI61" s="96"/>
      <c r="AJ61" s="109"/>
      <c r="AK61" s="110"/>
      <c r="AL61" s="109"/>
      <c r="AM61" s="149"/>
      <c r="AO61" s="68"/>
      <c r="AP61" s="154" t="str">
        <f t="shared" si="11"/>
        <v>pIG056</v>
      </c>
      <c r="AQ61" s="154">
        <f t="shared" si="12"/>
        <v>0</v>
      </c>
      <c r="AR61" s="155">
        <f t="shared" si="13"/>
        <v>0</v>
      </c>
      <c r="AS61" s="153">
        <f t="shared" si="14"/>
        <v>0</v>
      </c>
      <c r="AT61" s="118">
        <f t="shared" si="15"/>
        <v>0</v>
      </c>
    </row>
    <row r="62" spans="1:46" s="59" customFormat="1" ht="14.4" x14ac:dyDescent="0.55000000000000004">
      <c r="A62" s="78"/>
      <c r="B62" s="170" t="s">
        <v>537</v>
      </c>
      <c r="C62" s="18"/>
      <c r="D62" s="71"/>
      <c r="E62" s="72"/>
      <c r="F62" s="70"/>
      <c r="G62" s="70"/>
      <c r="H62" s="59" t="s">
        <v>33</v>
      </c>
      <c r="I62" s="88"/>
      <c r="J62" s="88"/>
      <c r="K62" s="88"/>
      <c r="L62" s="88"/>
      <c r="M62" s="88"/>
      <c r="N62" s="88"/>
      <c r="O62" s="88"/>
      <c r="P62" s="88"/>
      <c r="Q62" s="61"/>
      <c r="R62" s="73"/>
      <c r="S62" s="65" t="e">
        <f t="shared" ca="1" si="8"/>
        <v>#NAME?</v>
      </c>
      <c r="T62" s="74"/>
      <c r="U62" s="74"/>
      <c r="V62" s="113" t="str">
        <f t="shared" si="6"/>
        <v>pIG057  ()</v>
      </c>
      <c r="X62" s="98"/>
      <c r="Y62" s="128">
        <f t="shared" si="17"/>
        <v>0</v>
      </c>
      <c r="Z62" s="131"/>
      <c r="AA62" s="107"/>
      <c r="AB62" s="107"/>
      <c r="AC62" s="108" t="str">
        <f t="shared" si="16"/>
        <v/>
      </c>
      <c r="AD62" s="109" t="str">
        <f t="shared" si="1"/>
        <v/>
      </c>
      <c r="AE62" s="110" t="str">
        <f t="shared" si="2"/>
        <v/>
      </c>
      <c r="AF62" s="95"/>
      <c r="AG62" s="108" t="str">
        <f t="shared" si="3"/>
        <v/>
      </c>
      <c r="AH62" s="111" t="str">
        <f t="shared" si="9"/>
        <v/>
      </c>
      <c r="AI62" s="96"/>
      <c r="AJ62" s="109"/>
      <c r="AK62" s="110"/>
      <c r="AL62" s="109"/>
      <c r="AM62" s="149"/>
      <c r="AO62" s="68"/>
      <c r="AP62" s="154" t="str">
        <f t="shared" si="11"/>
        <v>pIG057</v>
      </c>
      <c r="AQ62" s="154">
        <f t="shared" si="12"/>
        <v>0</v>
      </c>
      <c r="AR62" s="155">
        <f t="shared" si="13"/>
        <v>0</v>
      </c>
      <c r="AS62" s="153">
        <f t="shared" si="14"/>
        <v>0</v>
      </c>
      <c r="AT62" s="118">
        <f t="shared" si="15"/>
        <v>0</v>
      </c>
    </row>
    <row r="63" spans="1:46" s="59" customFormat="1" ht="14.4" x14ac:dyDescent="0.55000000000000004">
      <c r="A63" s="78"/>
      <c r="B63" s="170" t="s">
        <v>538</v>
      </c>
      <c r="C63" s="18"/>
      <c r="D63" s="71"/>
      <c r="E63" s="72"/>
      <c r="F63" s="70"/>
      <c r="G63" s="70"/>
      <c r="H63" s="59" t="s">
        <v>33</v>
      </c>
      <c r="I63" s="88"/>
      <c r="J63" s="88"/>
      <c r="K63" s="88"/>
      <c r="L63" s="88"/>
      <c r="M63" s="88"/>
      <c r="N63" s="88"/>
      <c r="O63" s="88"/>
      <c r="P63" s="88"/>
      <c r="Q63" s="61"/>
      <c r="R63" s="73"/>
      <c r="S63" s="65" t="e">
        <f t="shared" ca="1" si="8"/>
        <v>#NAME?</v>
      </c>
      <c r="T63" s="74"/>
      <c r="U63" s="74"/>
      <c r="V63" s="113" t="str">
        <f t="shared" si="6"/>
        <v>pIG058  ()</v>
      </c>
      <c r="X63" s="98"/>
      <c r="Y63" s="128">
        <f t="shared" si="17"/>
        <v>0</v>
      </c>
      <c r="Z63" s="131"/>
      <c r="AA63" s="107"/>
      <c r="AB63" s="107"/>
      <c r="AC63" s="108" t="str">
        <f t="shared" si="16"/>
        <v/>
      </c>
      <c r="AD63" s="109" t="str">
        <f t="shared" si="1"/>
        <v/>
      </c>
      <c r="AE63" s="110" t="str">
        <f t="shared" si="2"/>
        <v/>
      </c>
      <c r="AF63" s="95"/>
      <c r="AG63" s="108" t="str">
        <f t="shared" si="3"/>
        <v/>
      </c>
      <c r="AH63" s="111" t="str">
        <f t="shared" si="9"/>
        <v/>
      </c>
      <c r="AI63" s="96"/>
      <c r="AJ63" s="109"/>
      <c r="AK63" s="110"/>
      <c r="AL63" s="109"/>
      <c r="AM63" s="149"/>
      <c r="AO63" s="68"/>
      <c r="AP63" s="154" t="str">
        <f t="shared" si="11"/>
        <v>pIG058</v>
      </c>
      <c r="AQ63" s="154">
        <f t="shared" si="12"/>
        <v>0</v>
      </c>
      <c r="AR63" s="155">
        <f t="shared" si="13"/>
        <v>0</v>
      </c>
      <c r="AS63" s="153">
        <f t="shared" si="14"/>
        <v>0</v>
      </c>
      <c r="AT63" s="118">
        <f t="shared" si="15"/>
        <v>0</v>
      </c>
    </row>
    <row r="64" spans="1:46" s="59" customFormat="1" ht="14.4" x14ac:dyDescent="0.55000000000000004">
      <c r="A64" s="78"/>
      <c r="B64" s="170" t="s">
        <v>539</v>
      </c>
      <c r="C64" s="18"/>
      <c r="D64" s="71"/>
      <c r="E64" s="70"/>
      <c r="F64" s="70"/>
      <c r="G64" s="70"/>
      <c r="H64" s="59" t="s">
        <v>33</v>
      </c>
      <c r="I64" s="88"/>
      <c r="J64" s="88"/>
      <c r="K64" s="88"/>
      <c r="L64" s="88"/>
      <c r="M64" s="88"/>
      <c r="N64" s="88"/>
      <c r="O64" s="88"/>
      <c r="P64" s="88"/>
      <c r="Q64" s="61"/>
      <c r="R64" s="73"/>
      <c r="S64" s="65" t="e">
        <f t="shared" ca="1" si="8"/>
        <v>#NAME?</v>
      </c>
      <c r="T64" s="74"/>
      <c r="U64" s="74"/>
      <c r="V64" s="113" t="str">
        <f t="shared" si="6"/>
        <v>pIG059  ()</v>
      </c>
      <c r="X64" s="98"/>
      <c r="Y64" s="128">
        <f t="shared" si="17"/>
        <v>0</v>
      </c>
      <c r="Z64" s="131"/>
      <c r="AA64" s="107"/>
      <c r="AB64" s="107"/>
      <c r="AC64" s="108" t="str">
        <f t="shared" si="16"/>
        <v/>
      </c>
      <c r="AD64" s="109" t="str">
        <f t="shared" si="1"/>
        <v/>
      </c>
      <c r="AE64" s="110" t="str">
        <f t="shared" si="2"/>
        <v/>
      </c>
      <c r="AF64" s="95"/>
      <c r="AG64" s="108" t="str">
        <f t="shared" si="3"/>
        <v/>
      </c>
      <c r="AH64" s="111" t="str">
        <f t="shared" si="9"/>
        <v/>
      </c>
      <c r="AI64" s="96"/>
      <c r="AJ64" s="109"/>
      <c r="AK64" s="110"/>
      <c r="AL64" s="109"/>
      <c r="AM64" s="149"/>
      <c r="AO64" s="68"/>
      <c r="AP64" s="154" t="str">
        <f t="shared" si="11"/>
        <v>pIG059</v>
      </c>
      <c r="AQ64" s="154">
        <f t="shared" si="12"/>
        <v>0</v>
      </c>
      <c r="AR64" s="155">
        <f t="shared" si="13"/>
        <v>0</v>
      </c>
      <c r="AS64" s="153">
        <f t="shared" si="14"/>
        <v>0</v>
      </c>
      <c r="AT64" s="118">
        <f t="shared" si="15"/>
        <v>0</v>
      </c>
    </row>
    <row r="65" spans="1:46" s="59" customFormat="1" ht="14.4" x14ac:dyDescent="0.55000000000000004">
      <c r="A65" s="78"/>
      <c r="B65" s="170" t="s">
        <v>540</v>
      </c>
      <c r="C65" s="18"/>
      <c r="D65" s="71"/>
      <c r="E65" s="70"/>
      <c r="F65" s="70"/>
      <c r="G65" s="70"/>
      <c r="H65" s="59" t="s">
        <v>33</v>
      </c>
      <c r="I65" s="88"/>
      <c r="J65" s="88"/>
      <c r="K65" s="88"/>
      <c r="L65" s="88"/>
      <c r="M65" s="88"/>
      <c r="N65" s="88"/>
      <c r="O65" s="88"/>
      <c r="P65" s="88"/>
      <c r="Q65" s="61"/>
      <c r="R65" s="73"/>
      <c r="S65" s="65" t="e">
        <f t="shared" ca="1" si="8"/>
        <v>#NAME?</v>
      </c>
      <c r="T65" s="74"/>
      <c r="U65" s="74"/>
      <c r="V65" s="113" t="str">
        <f t="shared" si="6"/>
        <v>pIG060  ()</v>
      </c>
      <c r="X65" s="98"/>
      <c r="Y65" s="128">
        <f t="shared" si="17"/>
        <v>0</v>
      </c>
      <c r="Z65" s="131"/>
      <c r="AA65" s="107"/>
      <c r="AB65" s="107"/>
      <c r="AC65" s="108" t="str">
        <f t="shared" si="16"/>
        <v/>
      </c>
      <c r="AD65" s="109" t="str">
        <f t="shared" si="1"/>
        <v/>
      </c>
      <c r="AE65" s="110" t="str">
        <f t="shared" si="2"/>
        <v/>
      </c>
      <c r="AF65" s="95"/>
      <c r="AG65" s="108" t="str">
        <f t="shared" si="3"/>
        <v/>
      </c>
      <c r="AH65" s="111" t="str">
        <f t="shared" si="9"/>
        <v/>
      </c>
      <c r="AI65" s="96"/>
      <c r="AJ65" s="109"/>
      <c r="AK65" s="110"/>
      <c r="AL65" s="109"/>
      <c r="AM65" s="149"/>
      <c r="AO65" s="68"/>
      <c r="AP65" s="154" t="str">
        <f t="shared" si="11"/>
        <v>pIG060</v>
      </c>
      <c r="AQ65" s="154">
        <f t="shared" si="12"/>
        <v>0</v>
      </c>
      <c r="AR65" s="155">
        <f t="shared" si="13"/>
        <v>0</v>
      </c>
      <c r="AS65" s="153">
        <f t="shared" si="14"/>
        <v>0</v>
      </c>
      <c r="AT65" s="118">
        <f t="shared" si="15"/>
        <v>0</v>
      </c>
    </row>
    <row r="66" spans="1:46" s="59" customFormat="1" ht="14.4" x14ac:dyDescent="0.55000000000000004">
      <c r="A66" s="78"/>
      <c r="B66" s="170" t="s">
        <v>541</v>
      </c>
      <c r="C66" s="106"/>
      <c r="D66" s="72"/>
      <c r="E66" s="72"/>
      <c r="F66" s="70"/>
      <c r="G66" s="70"/>
      <c r="H66" s="59" t="s">
        <v>33</v>
      </c>
      <c r="I66" s="88"/>
      <c r="J66" s="88"/>
      <c r="K66" s="88"/>
      <c r="L66" s="88"/>
      <c r="M66" s="88"/>
      <c r="N66" s="88"/>
      <c r="O66" s="88"/>
      <c r="P66" s="88"/>
      <c r="Q66" s="61"/>
      <c r="R66" s="73"/>
      <c r="S66" s="65" t="e">
        <f t="shared" ca="1" si="8"/>
        <v>#NAME?</v>
      </c>
      <c r="T66" s="74"/>
      <c r="U66" s="74"/>
      <c r="V66" s="113" t="str">
        <f t="shared" si="6"/>
        <v>pIG061  ()</v>
      </c>
      <c r="X66" s="98"/>
      <c r="Y66" s="128">
        <f t="shared" si="17"/>
        <v>0</v>
      </c>
      <c r="Z66" s="131"/>
      <c r="AA66" s="107"/>
      <c r="AB66" s="107"/>
      <c r="AC66" s="108" t="str">
        <f t="shared" si="16"/>
        <v/>
      </c>
      <c r="AD66" s="109" t="str">
        <f t="shared" si="1"/>
        <v/>
      </c>
      <c r="AE66" s="110" t="str">
        <f t="shared" si="2"/>
        <v/>
      </c>
      <c r="AF66" s="95"/>
      <c r="AG66" s="108" t="str">
        <f t="shared" si="3"/>
        <v/>
      </c>
      <c r="AH66" s="111" t="str">
        <f t="shared" si="9"/>
        <v/>
      </c>
      <c r="AI66" s="96"/>
      <c r="AJ66" s="109"/>
      <c r="AK66" s="110"/>
      <c r="AL66" s="109"/>
      <c r="AM66" s="149"/>
      <c r="AO66" s="68"/>
      <c r="AP66" s="154" t="str">
        <f t="shared" si="11"/>
        <v>pIG061</v>
      </c>
      <c r="AQ66" s="154">
        <f t="shared" si="12"/>
        <v>0</v>
      </c>
      <c r="AR66" s="155">
        <f t="shared" si="13"/>
        <v>0</v>
      </c>
      <c r="AS66" s="153">
        <f t="shared" si="14"/>
        <v>0</v>
      </c>
      <c r="AT66" s="118">
        <f t="shared" si="15"/>
        <v>0</v>
      </c>
    </row>
    <row r="67" spans="1:46" s="59" customFormat="1" ht="14.4" x14ac:dyDescent="0.55000000000000004">
      <c r="A67" s="78"/>
      <c r="B67" s="170" t="s">
        <v>542</v>
      </c>
      <c r="C67" s="106"/>
      <c r="D67" s="72"/>
      <c r="E67" s="72"/>
      <c r="F67" s="70"/>
      <c r="G67" s="70"/>
      <c r="H67" s="59" t="s">
        <v>33</v>
      </c>
      <c r="I67" s="88"/>
      <c r="J67" s="88"/>
      <c r="K67" s="88"/>
      <c r="L67" s="88"/>
      <c r="M67" s="88"/>
      <c r="N67" s="88"/>
      <c r="O67" s="88"/>
      <c r="P67" s="88"/>
      <c r="Q67" s="61"/>
      <c r="R67" s="73"/>
      <c r="S67" s="65" t="e">
        <f t="shared" ca="1" si="8"/>
        <v>#NAME?</v>
      </c>
      <c r="T67" s="74"/>
      <c r="U67" s="74"/>
      <c r="V67" s="113" t="str">
        <f t="shared" si="6"/>
        <v>pIG062  ()</v>
      </c>
      <c r="X67" s="98"/>
      <c r="Y67" s="128">
        <f t="shared" si="17"/>
        <v>0</v>
      </c>
      <c r="Z67" s="131"/>
      <c r="AA67" s="107"/>
      <c r="AB67" s="107"/>
      <c r="AC67" s="108" t="str">
        <f t="shared" si="16"/>
        <v/>
      </c>
      <c r="AD67" s="109" t="str">
        <f t="shared" si="1"/>
        <v/>
      </c>
      <c r="AE67" s="110" t="str">
        <f t="shared" si="2"/>
        <v/>
      </c>
      <c r="AF67" s="95"/>
      <c r="AG67" s="108" t="str">
        <f t="shared" si="3"/>
        <v/>
      </c>
      <c r="AH67" s="111" t="str">
        <f t="shared" si="9"/>
        <v/>
      </c>
      <c r="AI67" s="96"/>
      <c r="AJ67" s="109"/>
      <c r="AK67" s="110"/>
      <c r="AL67" s="109"/>
      <c r="AM67" s="149"/>
      <c r="AO67" s="68"/>
      <c r="AP67" s="154" t="str">
        <f t="shared" si="11"/>
        <v>pIG062</v>
      </c>
      <c r="AQ67" s="154">
        <f t="shared" si="12"/>
        <v>0</v>
      </c>
      <c r="AR67" s="155">
        <f t="shared" si="13"/>
        <v>0</v>
      </c>
      <c r="AS67" s="153">
        <f t="shared" si="14"/>
        <v>0</v>
      </c>
      <c r="AT67" s="118">
        <f t="shared" si="15"/>
        <v>0</v>
      </c>
    </row>
    <row r="68" spans="1:46" s="59" customFormat="1" ht="14.4" x14ac:dyDescent="0.55000000000000004">
      <c r="A68" s="78"/>
      <c r="B68" s="170" t="s">
        <v>543</v>
      </c>
      <c r="C68" s="18"/>
      <c r="D68" s="72"/>
      <c r="E68" s="70"/>
      <c r="F68" s="70"/>
      <c r="G68" s="70"/>
      <c r="H68" s="59" t="s">
        <v>33</v>
      </c>
      <c r="I68" s="88"/>
      <c r="J68" s="88"/>
      <c r="K68" s="88"/>
      <c r="L68" s="88"/>
      <c r="M68" s="88"/>
      <c r="N68" s="88"/>
      <c r="O68" s="88"/>
      <c r="P68" s="88"/>
      <c r="Q68" s="61"/>
      <c r="R68" s="73"/>
      <c r="S68" s="65" t="e">
        <f t="shared" ca="1" si="8"/>
        <v>#NAME?</v>
      </c>
      <c r="T68" s="74"/>
      <c r="U68" s="74"/>
      <c r="V68" s="113" t="str">
        <f t="shared" si="6"/>
        <v>pIG063  ()</v>
      </c>
      <c r="X68" s="98"/>
      <c r="Y68" s="128">
        <f t="shared" si="17"/>
        <v>0</v>
      </c>
      <c r="Z68" s="131"/>
      <c r="AA68" s="107"/>
      <c r="AB68" s="107"/>
      <c r="AC68" s="108" t="str">
        <f t="shared" si="16"/>
        <v/>
      </c>
      <c r="AD68" s="109" t="str">
        <f t="shared" si="1"/>
        <v/>
      </c>
      <c r="AE68" s="110" t="str">
        <f t="shared" si="2"/>
        <v/>
      </c>
      <c r="AF68" s="95"/>
      <c r="AG68" s="108" t="str">
        <f t="shared" si="3"/>
        <v/>
      </c>
      <c r="AH68" s="111" t="str">
        <f t="shared" si="9"/>
        <v/>
      </c>
      <c r="AI68" s="96"/>
      <c r="AJ68" s="109"/>
      <c r="AK68" s="110"/>
      <c r="AL68" s="109"/>
      <c r="AM68" s="149"/>
      <c r="AO68" s="68"/>
      <c r="AP68" s="154" t="str">
        <f t="shared" si="11"/>
        <v>pIG063</v>
      </c>
      <c r="AQ68" s="154">
        <f t="shared" si="12"/>
        <v>0</v>
      </c>
      <c r="AR68" s="155">
        <f t="shared" si="13"/>
        <v>0</v>
      </c>
      <c r="AS68" s="153">
        <f t="shared" si="14"/>
        <v>0</v>
      </c>
      <c r="AT68" s="118">
        <f t="shared" si="15"/>
        <v>0</v>
      </c>
    </row>
    <row r="69" spans="1:46" s="59" customFormat="1" ht="14.4" x14ac:dyDescent="0.55000000000000004">
      <c r="A69" s="78"/>
      <c r="B69" s="170" t="s">
        <v>544</v>
      </c>
      <c r="C69" s="18"/>
      <c r="D69" s="72"/>
      <c r="E69" s="70"/>
      <c r="F69" s="70"/>
      <c r="G69" s="70"/>
      <c r="H69" s="59" t="s">
        <v>33</v>
      </c>
      <c r="I69" s="88"/>
      <c r="J69" s="88"/>
      <c r="K69" s="88"/>
      <c r="L69" s="88"/>
      <c r="M69" s="88"/>
      <c r="N69" s="88"/>
      <c r="O69" s="88"/>
      <c r="P69" s="88"/>
      <c r="Q69" s="61"/>
      <c r="R69" s="73"/>
      <c r="S69" s="65" t="e">
        <f t="shared" ca="1" si="8"/>
        <v>#NAME?</v>
      </c>
      <c r="T69" s="76"/>
      <c r="U69" s="74"/>
      <c r="V69" s="113" t="str">
        <f t="shared" ref="V69:V87" si="18">_xlfn.CONCAT(B69," ",C69," (",D69,")")</f>
        <v>pIG064  ()</v>
      </c>
      <c r="X69" s="98"/>
      <c r="Y69" s="128">
        <f t="shared" si="17"/>
        <v>0</v>
      </c>
      <c r="Z69" s="131"/>
      <c r="AA69" s="107"/>
      <c r="AB69" s="107"/>
      <c r="AC69" s="108" t="str">
        <f t="shared" si="16"/>
        <v/>
      </c>
      <c r="AD69" s="109" t="str">
        <f t="shared" ref="AD69:AD87" si="19">IF($AC69="","",AD$3/($AC69*10^-9)*10^6)</f>
        <v/>
      </c>
      <c r="AE69" s="110" t="str">
        <f t="shared" ref="AE69:AE87" si="20">IF(AD69="","","µL")</f>
        <v/>
      </c>
      <c r="AF69" s="95"/>
      <c r="AG69" s="108" t="str">
        <f t="shared" ref="AG69:AG87" si="21">IF($AC69="","",$AC69*10^-9/AH$2)</f>
        <v/>
      </c>
      <c r="AH69" s="111" t="str">
        <f t="shared" si="9"/>
        <v/>
      </c>
      <c r="AI69" s="96"/>
      <c r="AJ69" s="109"/>
      <c r="AK69" s="110"/>
      <c r="AL69" s="109"/>
      <c r="AM69" s="149"/>
      <c r="AO69" s="68"/>
      <c r="AP69" s="154" t="str">
        <f t="shared" si="11"/>
        <v>pIG064</v>
      </c>
      <c r="AQ69" s="154">
        <f t="shared" si="12"/>
        <v>0</v>
      </c>
      <c r="AR69" s="155">
        <f t="shared" si="13"/>
        <v>0</v>
      </c>
      <c r="AS69" s="153">
        <f t="shared" si="14"/>
        <v>0</v>
      </c>
      <c r="AT69" s="118">
        <f t="shared" si="15"/>
        <v>0</v>
      </c>
    </row>
    <row r="70" spans="1:46" s="59" customFormat="1" ht="14.4" x14ac:dyDescent="0.55000000000000004">
      <c r="A70" s="78"/>
      <c r="B70" s="170" t="s">
        <v>545</v>
      </c>
      <c r="C70" s="18"/>
      <c r="D70" s="72"/>
      <c r="E70" s="70"/>
      <c r="F70" s="70"/>
      <c r="G70" s="70"/>
      <c r="H70" s="59" t="s">
        <v>33</v>
      </c>
      <c r="I70" s="88"/>
      <c r="J70" s="88"/>
      <c r="K70" s="88"/>
      <c r="L70" s="88"/>
      <c r="M70" s="88"/>
      <c r="N70" s="88"/>
      <c r="O70" s="88"/>
      <c r="P70" s="88"/>
      <c r="Q70" s="61"/>
      <c r="R70" s="73"/>
      <c r="S70" s="65" t="e">
        <f t="shared" ca="1" si="8"/>
        <v>#NAME?</v>
      </c>
      <c r="T70" s="74"/>
      <c r="U70" s="74"/>
      <c r="V70" s="113" t="str">
        <f t="shared" si="18"/>
        <v>pIG065  ()</v>
      </c>
      <c r="X70" s="98"/>
      <c r="Y70" s="128">
        <f t="shared" ref="Y70:Y87" si="22">IF(X70=" ","",LEN(X70))</f>
        <v>0</v>
      </c>
      <c r="Z70" s="131"/>
      <c r="AA70" s="107"/>
      <c r="AB70" s="107"/>
      <c r="AC70" s="108" t="str">
        <f t="shared" si="16"/>
        <v/>
      </c>
      <c r="AD70" s="109" t="str">
        <f t="shared" si="19"/>
        <v/>
      </c>
      <c r="AE70" s="110" t="str">
        <f t="shared" si="20"/>
        <v/>
      </c>
      <c r="AF70" s="95"/>
      <c r="AG70" s="108" t="str">
        <f t="shared" si="21"/>
        <v/>
      </c>
      <c r="AH70" s="111" t="str">
        <f t="shared" si="9"/>
        <v/>
      </c>
      <c r="AI70" s="96"/>
      <c r="AJ70" s="109"/>
      <c r="AK70" s="110"/>
      <c r="AL70" s="109"/>
      <c r="AM70" s="149"/>
      <c r="AO70" s="68"/>
      <c r="AP70" s="154" t="str">
        <f t="shared" si="11"/>
        <v>pIG065</v>
      </c>
      <c r="AQ70" s="154">
        <f t="shared" si="12"/>
        <v>0</v>
      </c>
      <c r="AR70" s="155">
        <f t="shared" si="13"/>
        <v>0</v>
      </c>
      <c r="AS70" s="153">
        <f t="shared" si="14"/>
        <v>0</v>
      </c>
      <c r="AT70" s="118">
        <f t="shared" si="15"/>
        <v>0</v>
      </c>
    </row>
    <row r="71" spans="1:46" s="59" customFormat="1" ht="14.4" x14ac:dyDescent="0.55000000000000004">
      <c r="A71" s="78"/>
      <c r="B71" s="170" t="s">
        <v>546</v>
      </c>
      <c r="C71" s="18"/>
      <c r="D71" s="72"/>
      <c r="E71" s="70"/>
      <c r="F71" s="70"/>
      <c r="G71" s="70"/>
      <c r="H71" s="59" t="s">
        <v>33</v>
      </c>
      <c r="I71" s="88"/>
      <c r="J71" s="88"/>
      <c r="K71" s="88"/>
      <c r="L71" s="88"/>
      <c r="M71" s="88"/>
      <c r="N71" s="88"/>
      <c r="O71" s="88"/>
      <c r="P71" s="88"/>
      <c r="Q71" s="61"/>
      <c r="R71" s="73"/>
      <c r="S71" s="65" t="e">
        <f t="shared" ref="S71:S87" ca="1" si="23">digest(X71,"NotI")</f>
        <v>#NAME?</v>
      </c>
      <c r="T71" s="74"/>
      <c r="U71" s="74"/>
      <c r="V71" s="113" t="str">
        <f t="shared" si="18"/>
        <v>pIG066  ()</v>
      </c>
      <c r="X71" s="98"/>
      <c r="Y71" s="128">
        <f t="shared" si="22"/>
        <v>0</v>
      </c>
      <c r="Z71" s="131"/>
      <c r="AA71" s="107"/>
      <c r="AB71" s="107"/>
      <c r="AC71" s="108" t="str">
        <f t="shared" si="16"/>
        <v/>
      </c>
      <c r="AD71" s="109" t="str">
        <f t="shared" si="19"/>
        <v/>
      </c>
      <c r="AE71" s="110" t="str">
        <f t="shared" si="20"/>
        <v/>
      </c>
      <c r="AF71" s="95"/>
      <c r="AG71" s="108" t="str">
        <f t="shared" si="21"/>
        <v/>
      </c>
      <c r="AH71" s="111" t="str">
        <f t="shared" ref="AH71:AH87" si="24">IF(AG71="","",IF(AG71&lt;1.05,IF(AG71&gt;0.95,"≈0","Too dilute"),IF(AA71="","",(AG71*AA71)-AA71)))</f>
        <v/>
      </c>
      <c r="AI71" s="96"/>
      <c r="AJ71" s="109"/>
      <c r="AK71" s="110"/>
      <c r="AL71" s="109"/>
      <c r="AM71" s="149"/>
      <c r="AO71" s="68"/>
      <c r="AP71" s="154" t="str">
        <f t="shared" ref="AP71:AP87" si="25">B71</f>
        <v>pIG066</v>
      </c>
      <c r="AQ71" s="154">
        <f t="shared" ref="AQ71:AQ87" si="26">C71</f>
        <v>0</v>
      </c>
      <c r="AR71" s="155">
        <f t="shared" ref="AR71:AR87" si="27">T71</f>
        <v>0</v>
      </c>
      <c r="AS71" s="153">
        <f t="shared" ref="AS71:AS87" si="28">U71</f>
        <v>0</v>
      </c>
      <c r="AT71" s="118">
        <f t="shared" ref="AT71:AT87" si="29">R71</f>
        <v>0</v>
      </c>
    </row>
    <row r="72" spans="1:46" s="59" customFormat="1" ht="14.4" x14ac:dyDescent="0.55000000000000004">
      <c r="A72" s="78"/>
      <c r="B72" s="170" t="s">
        <v>547</v>
      </c>
      <c r="C72" s="18"/>
      <c r="D72" s="72"/>
      <c r="E72" s="70"/>
      <c r="F72" s="70"/>
      <c r="G72" s="70"/>
      <c r="H72" s="59" t="s">
        <v>33</v>
      </c>
      <c r="I72" s="88"/>
      <c r="J72" s="88"/>
      <c r="K72" s="88"/>
      <c r="L72" s="88"/>
      <c r="M72" s="88"/>
      <c r="N72" s="88"/>
      <c r="O72" s="88"/>
      <c r="P72" s="88"/>
      <c r="Q72" s="61"/>
      <c r="R72" s="73"/>
      <c r="S72" s="65" t="e">
        <f t="shared" ca="1" si="23"/>
        <v>#NAME?</v>
      </c>
      <c r="T72" s="74"/>
      <c r="U72" s="74"/>
      <c r="V72" s="113" t="str">
        <f t="shared" si="18"/>
        <v>pIG067  ()</v>
      </c>
      <c r="X72" s="98"/>
      <c r="Y72" s="128">
        <f t="shared" si="22"/>
        <v>0</v>
      </c>
      <c r="Z72" s="131"/>
      <c r="AA72" s="107"/>
      <c r="AB72" s="107"/>
      <c r="AC72" s="108" t="str">
        <f t="shared" si="16"/>
        <v/>
      </c>
      <c r="AD72" s="109" t="str">
        <f t="shared" si="19"/>
        <v/>
      </c>
      <c r="AE72" s="110" t="str">
        <f t="shared" si="20"/>
        <v/>
      </c>
      <c r="AF72" s="95"/>
      <c r="AG72" s="108" t="str">
        <f t="shared" si="21"/>
        <v/>
      </c>
      <c r="AH72" s="111" t="str">
        <f t="shared" si="24"/>
        <v/>
      </c>
      <c r="AI72" s="96"/>
      <c r="AJ72" s="109"/>
      <c r="AK72" s="110"/>
      <c r="AL72" s="109"/>
      <c r="AM72" s="149"/>
      <c r="AO72" s="68"/>
      <c r="AP72" s="154" t="str">
        <f t="shared" si="25"/>
        <v>pIG067</v>
      </c>
      <c r="AQ72" s="154">
        <f t="shared" si="26"/>
        <v>0</v>
      </c>
      <c r="AR72" s="155">
        <f t="shared" si="27"/>
        <v>0</v>
      </c>
      <c r="AS72" s="153">
        <f t="shared" si="28"/>
        <v>0</v>
      </c>
      <c r="AT72" s="118">
        <f t="shared" si="29"/>
        <v>0</v>
      </c>
    </row>
    <row r="73" spans="1:46" s="59" customFormat="1" ht="14.4" x14ac:dyDescent="0.55000000000000004">
      <c r="A73" s="78"/>
      <c r="B73" s="170" t="s">
        <v>548</v>
      </c>
      <c r="C73" s="18"/>
      <c r="D73" s="72"/>
      <c r="E73" s="70"/>
      <c r="F73" s="70"/>
      <c r="G73" s="70"/>
      <c r="H73" s="59" t="s">
        <v>33</v>
      </c>
      <c r="I73" s="88"/>
      <c r="J73" s="88"/>
      <c r="K73" s="88"/>
      <c r="L73" s="88"/>
      <c r="M73" s="88"/>
      <c r="N73" s="88"/>
      <c r="O73" s="88"/>
      <c r="P73" s="88"/>
      <c r="Q73" s="61"/>
      <c r="R73" s="73"/>
      <c r="S73" s="65" t="e">
        <f t="shared" ca="1" si="23"/>
        <v>#NAME?</v>
      </c>
      <c r="T73" s="74"/>
      <c r="U73" s="74"/>
      <c r="V73" s="113" t="str">
        <f t="shared" si="18"/>
        <v>pIG068  ()</v>
      </c>
      <c r="X73" s="98"/>
      <c r="Y73" s="128">
        <f t="shared" si="22"/>
        <v>0</v>
      </c>
      <c r="Z73" s="131"/>
      <c r="AA73" s="107"/>
      <c r="AB73" s="107"/>
      <c r="AC73" s="108" t="str">
        <f t="shared" si="16"/>
        <v/>
      </c>
      <c r="AD73" s="109" t="str">
        <f t="shared" si="19"/>
        <v/>
      </c>
      <c r="AE73" s="110" t="str">
        <f t="shared" si="20"/>
        <v/>
      </c>
      <c r="AF73" s="95"/>
      <c r="AG73" s="108" t="str">
        <f t="shared" si="21"/>
        <v/>
      </c>
      <c r="AH73" s="111" t="str">
        <f t="shared" si="24"/>
        <v/>
      </c>
      <c r="AI73" s="96"/>
      <c r="AJ73" s="109"/>
      <c r="AK73" s="110"/>
      <c r="AL73" s="109"/>
      <c r="AM73" s="149"/>
      <c r="AO73" s="68"/>
      <c r="AP73" s="154" t="str">
        <f t="shared" si="25"/>
        <v>pIG068</v>
      </c>
      <c r="AQ73" s="154">
        <f t="shared" si="26"/>
        <v>0</v>
      </c>
      <c r="AR73" s="155">
        <f t="shared" si="27"/>
        <v>0</v>
      </c>
      <c r="AS73" s="153">
        <f t="shared" si="28"/>
        <v>0</v>
      </c>
      <c r="AT73" s="118">
        <f t="shared" si="29"/>
        <v>0</v>
      </c>
    </row>
    <row r="74" spans="1:46" s="59" customFormat="1" ht="14.4" x14ac:dyDescent="0.55000000000000004">
      <c r="A74" s="78"/>
      <c r="B74" s="170" t="s">
        <v>549</v>
      </c>
      <c r="C74" s="18"/>
      <c r="D74" s="72"/>
      <c r="E74" s="70"/>
      <c r="F74" s="70"/>
      <c r="G74" s="70"/>
      <c r="H74" s="59" t="s">
        <v>33</v>
      </c>
      <c r="I74" s="88"/>
      <c r="J74" s="88"/>
      <c r="K74" s="88"/>
      <c r="L74" s="88"/>
      <c r="M74" s="88"/>
      <c r="N74" s="88"/>
      <c r="O74" s="88"/>
      <c r="P74" s="88"/>
      <c r="Q74" s="61"/>
      <c r="R74" s="73"/>
      <c r="S74" s="65" t="e">
        <f t="shared" ca="1" si="23"/>
        <v>#NAME?</v>
      </c>
      <c r="T74" s="74"/>
      <c r="U74" s="74"/>
      <c r="V74" s="113" t="str">
        <f t="shared" si="18"/>
        <v>pIG069  ()</v>
      </c>
      <c r="X74" s="98"/>
      <c r="Y74" s="128">
        <f t="shared" si="22"/>
        <v>0</v>
      </c>
      <c r="Z74" s="131"/>
      <c r="AA74" s="107"/>
      <c r="AB74" s="107"/>
      <c r="AC74" s="108" t="str">
        <f t="shared" si="16"/>
        <v/>
      </c>
      <c r="AD74" s="109" t="str">
        <f t="shared" si="19"/>
        <v/>
      </c>
      <c r="AE74" s="110" t="str">
        <f t="shared" si="20"/>
        <v/>
      </c>
      <c r="AF74" s="95"/>
      <c r="AG74" s="108" t="str">
        <f t="shared" si="21"/>
        <v/>
      </c>
      <c r="AH74" s="111" t="str">
        <f t="shared" si="24"/>
        <v/>
      </c>
      <c r="AI74" s="96"/>
      <c r="AJ74" s="109"/>
      <c r="AK74" s="110"/>
      <c r="AL74" s="109"/>
      <c r="AM74" s="149"/>
      <c r="AO74" s="68"/>
      <c r="AP74" s="154" t="str">
        <f t="shared" si="25"/>
        <v>pIG069</v>
      </c>
      <c r="AQ74" s="154">
        <f t="shared" si="26"/>
        <v>0</v>
      </c>
      <c r="AR74" s="155">
        <f t="shared" si="27"/>
        <v>0</v>
      </c>
      <c r="AS74" s="153">
        <f t="shared" si="28"/>
        <v>0</v>
      </c>
      <c r="AT74" s="118">
        <f t="shared" si="29"/>
        <v>0</v>
      </c>
    </row>
    <row r="75" spans="1:46" s="59" customFormat="1" ht="14.4" x14ac:dyDescent="0.55000000000000004">
      <c r="A75" s="78"/>
      <c r="B75" s="170" t="s">
        <v>550</v>
      </c>
      <c r="C75" s="18"/>
      <c r="D75" s="72"/>
      <c r="E75" s="72"/>
      <c r="F75" s="70"/>
      <c r="G75" s="70"/>
      <c r="H75" s="59" t="s">
        <v>33</v>
      </c>
      <c r="I75" s="88"/>
      <c r="J75" s="88"/>
      <c r="K75" s="88"/>
      <c r="L75" s="88"/>
      <c r="M75" s="88"/>
      <c r="N75" s="88"/>
      <c r="O75" s="88"/>
      <c r="P75" s="88"/>
      <c r="Q75" s="61"/>
      <c r="R75" s="73"/>
      <c r="S75" s="65" t="e">
        <f t="shared" ca="1" si="23"/>
        <v>#NAME?</v>
      </c>
      <c r="T75" s="74"/>
      <c r="U75" s="74"/>
      <c r="V75" s="113" t="str">
        <f t="shared" si="18"/>
        <v>pIG070  ()</v>
      </c>
      <c r="X75" s="98"/>
      <c r="Y75" s="128">
        <f t="shared" si="22"/>
        <v>0</v>
      </c>
      <c r="Z75" s="131"/>
      <c r="AA75" s="107"/>
      <c r="AB75" s="107"/>
      <c r="AC75" s="108" t="str">
        <f t="shared" si="16"/>
        <v/>
      </c>
      <c r="AD75" s="109" t="str">
        <f t="shared" si="19"/>
        <v/>
      </c>
      <c r="AE75" s="110" t="str">
        <f t="shared" si="20"/>
        <v/>
      </c>
      <c r="AF75" s="95"/>
      <c r="AG75" s="108" t="str">
        <f t="shared" si="21"/>
        <v/>
      </c>
      <c r="AH75" s="111" t="str">
        <f t="shared" si="24"/>
        <v/>
      </c>
      <c r="AI75" s="96"/>
      <c r="AJ75" s="109"/>
      <c r="AK75" s="110"/>
      <c r="AL75" s="109"/>
      <c r="AM75" s="149"/>
      <c r="AO75" s="68"/>
      <c r="AP75" s="154" t="str">
        <f t="shared" si="25"/>
        <v>pIG070</v>
      </c>
      <c r="AQ75" s="154">
        <f t="shared" si="26"/>
        <v>0</v>
      </c>
      <c r="AR75" s="155">
        <f t="shared" si="27"/>
        <v>0</v>
      </c>
      <c r="AS75" s="153">
        <f t="shared" si="28"/>
        <v>0</v>
      </c>
      <c r="AT75" s="118">
        <f t="shared" si="29"/>
        <v>0</v>
      </c>
    </row>
    <row r="76" spans="1:46" s="59" customFormat="1" ht="14.4" x14ac:dyDescent="0.55000000000000004">
      <c r="A76" s="78"/>
      <c r="B76" s="170" t="s">
        <v>551</v>
      </c>
      <c r="C76" s="18"/>
      <c r="D76" s="72"/>
      <c r="E76" s="106"/>
      <c r="F76" s="70"/>
      <c r="G76" s="70"/>
      <c r="H76" s="59" t="s">
        <v>33</v>
      </c>
      <c r="I76" s="88"/>
      <c r="J76" s="88"/>
      <c r="K76" s="88"/>
      <c r="L76" s="88"/>
      <c r="M76" s="88"/>
      <c r="N76" s="88"/>
      <c r="O76" s="88"/>
      <c r="P76" s="88"/>
      <c r="Q76" s="61"/>
      <c r="R76" s="73"/>
      <c r="S76" s="65" t="e">
        <f t="shared" ca="1" si="23"/>
        <v>#NAME?</v>
      </c>
      <c r="T76" s="74"/>
      <c r="U76" s="74"/>
      <c r="V76" s="113" t="str">
        <f t="shared" si="18"/>
        <v>pIG071  ()</v>
      </c>
      <c r="X76" s="98"/>
      <c r="Y76" s="128">
        <f t="shared" si="22"/>
        <v>0</v>
      </c>
      <c r="Z76" s="131"/>
      <c r="AA76" s="107"/>
      <c r="AB76" s="107"/>
      <c r="AC76" s="108" t="str">
        <f t="shared" si="16"/>
        <v/>
      </c>
      <c r="AD76" s="109" t="str">
        <f t="shared" si="19"/>
        <v/>
      </c>
      <c r="AE76" s="110" t="str">
        <f t="shared" si="20"/>
        <v/>
      </c>
      <c r="AF76" s="95"/>
      <c r="AG76" s="108" t="str">
        <f t="shared" si="21"/>
        <v/>
      </c>
      <c r="AH76" s="111" t="str">
        <f t="shared" si="24"/>
        <v/>
      </c>
      <c r="AI76" s="96"/>
      <c r="AJ76" s="109"/>
      <c r="AK76" s="110"/>
      <c r="AL76" s="109"/>
      <c r="AM76" s="149"/>
      <c r="AO76" s="68"/>
      <c r="AP76" s="154" t="str">
        <f t="shared" si="25"/>
        <v>pIG071</v>
      </c>
      <c r="AQ76" s="154">
        <f t="shared" si="26"/>
        <v>0</v>
      </c>
      <c r="AR76" s="155">
        <f t="shared" si="27"/>
        <v>0</v>
      </c>
      <c r="AS76" s="153">
        <f t="shared" si="28"/>
        <v>0</v>
      </c>
      <c r="AT76" s="118">
        <f t="shared" si="29"/>
        <v>0</v>
      </c>
    </row>
    <row r="77" spans="1:46" s="59" customFormat="1" ht="14.4" x14ac:dyDescent="0.55000000000000004">
      <c r="A77" s="78"/>
      <c r="B77" s="170" t="s">
        <v>552</v>
      </c>
      <c r="C77" s="18"/>
      <c r="D77" s="72"/>
      <c r="E77" s="106"/>
      <c r="F77" s="70"/>
      <c r="G77" s="70"/>
      <c r="H77" s="59" t="s">
        <v>33</v>
      </c>
      <c r="I77" s="88"/>
      <c r="J77" s="88"/>
      <c r="K77" s="88"/>
      <c r="L77" s="88"/>
      <c r="M77" s="88"/>
      <c r="N77" s="88"/>
      <c r="O77" s="88"/>
      <c r="P77" s="88"/>
      <c r="Q77" s="61"/>
      <c r="R77" s="73"/>
      <c r="S77" s="65" t="e">
        <f t="shared" ca="1" si="23"/>
        <v>#NAME?</v>
      </c>
      <c r="T77" s="74"/>
      <c r="U77" s="74"/>
      <c r="V77" s="113" t="str">
        <f t="shared" si="18"/>
        <v>pIG072  ()</v>
      </c>
      <c r="X77" s="98"/>
      <c r="Y77" s="128">
        <f t="shared" si="22"/>
        <v>0</v>
      </c>
      <c r="Z77" s="131"/>
      <c r="AA77" s="107"/>
      <c r="AB77" s="107"/>
      <c r="AC77" s="108" t="str">
        <f t="shared" si="16"/>
        <v/>
      </c>
      <c r="AD77" s="109" t="str">
        <f t="shared" si="19"/>
        <v/>
      </c>
      <c r="AE77" s="110" t="str">
        <f t="shared" si="20"/>
        <v/>
      </c>
      <c r="AF77" s="95"/>
      <c r="AG77" s="108" t="str">
        <f t="shared" si="21"/>
        <v/>
      </c>
      <c r="AH77" s="111" t="str">
        <f t="shared" si="24"/>
        <v/>
      </c>
      <c r="AI77" s="96"/>
      <c r="AJ77" s="109"/>
      <c r="AK77" s="110"/>
      <c r="AL77" s="109"/>
      <c r="AM77" s="149"/>
      <c r="AO77" s="68"/>
      <c r="AP77" s="154" t="str">
        <f t="shared" si="25"/>
        <v>pIG072</v>
      </c>
      <c r="AQ77" s="154">
        <f t="shared" si="26"/>
        <v>0</v>
      </c>
      <c r="AR77" s="155">
        <f t="shared" si="27"/>
        <v>0</v>
      </c>
      <c r="AS77" s="153">
        <f t="shared" si="28"/>
        <v>0</v>
      </c>
      <c r="AT77" s="118">
        <f t="shared" si="29"/>
        <v>0</v>
      </c>
    </row>
    <row r="78" spans="1:46" s="59" customFormat="1" ht="14.4" x14ac:dyDescent="0.55000000000000004">
      <c r="A78" s="78"/>
      <c r="B78" s="170" t="s">
        <v>553</v>
      </c>
      <c r="C78" s="18"/>
      <c r="D78" s="72"/>
      <c r="E78" s="70"/>
      <c r="F78" s="70"/>
      <c r="G78" s="70"/>
      <c r="H78" s="59" t="s">
        <v>33</v>
      </c>
      <c r="I78" s="88"/>
      <c r="J78" s="88"/>
      <c r="K78" s="88"/>
      <c r="L78" s="88"/>
      <c r="M78" s="88"/>
      <c r="N78" s="88"/>
      <c r="O78" s="88"/>
      <c r="P78" s="88"/>
      <c r="Q78" s="61"/>
      <c r="R78" s="73"/>
      <c r="S78" s="65" t="e">
        <f t="shared" ca="1" si="23"/>
        <v>#NAME?</v>
      </c>
      <c r="T78" s="74"/>
      <c r="U78" s="74"/>
      <c r="V78" s="113" t="str">
        <f t="shared" si="18"/>
        <v>pIG073  ()</v>
      </c>
      <c r="X78" s="98"/>
      <c r="Y78" s="128">
        <f t="shared" si="22"/>
        <v>0</v>
      </c>
      <c r="Z78" s="131"/>
      <c r="AA78" s="107"/>
      <c r="AB78" s="107"/>
      <c r="AC78" s="108" t="str">
        <f t="shared" si="16"/>
        <v/>
      </c>
      <c r="AD78" s="109" t="str">
        <f t="shared" si="19"/>
        <v/>
      </c>
      <c r="AE78" s="110" t="str">
        <f t="shared" si="20"/>
        <v/>
      </c>
      <c r="AF78" s="95"/>
      <c r="AG78" s="108" t="str">
        <f t="shared" si="21"/>
        <v/>
      </c>
      <c r="AH78" s="111" t="str">
        <f t="shared" si="24"/>
        <v/>
      </c>
      <c r="AI78" s="96"/>
      <c r="AJ78" s="109"/>
      <c r="AK78" s="110"/>
      <c r="AL78" s="109"/>
      <c r="AM78" s="149"/>
      <c r="AO78" s="68"/>
      <c r="AP78" s="154" t="str">
        <f t="shared" si="25"/>
        <v>pIG073</v>
      </c>
      <c r="AQ78" s="154">
        <f t="shared" si="26"/>
        <v>0</v>
      </c>
      <c r="AR78" s="155">
        <f t="shared" si="27"/>
        <v>0</v>
      </c>
      <c r="AS78" s="153">
        <f t="shared" si="28"/>
        <v>0</v>
      </c>
      <c r="AT78" s="118">
        <f t="shared" si="29"/>
        <v>0</v>
      </c>
    </row>
    <row r="79" spans="1:46" s="59" customFormat="1" ht="14.4" x14ac:dyDescent="0.55000000000000004">
      <c r="A79" s="78"/>
      <c r="B79" s="170" t="s">
        <v>554</v>
      </c>
      <c r="C79" s="18"/>
      <c r="D79" s="70"/>
      <c r="E79" s="70"/>
      <c r="F79" s="70"/>
      <c r="G79" s="70"/>
      <c r="H79" s="59" t="s">
        <v>33</v>
      </c>
      <c r="I79" s="88"/>
      <c r="J79" s="88"/>
      <c r="K79" s="88"/>
      <c r="L79" s="88"/>
      <c r="M79" s="88"/>
      <c r="N79" s="88"/>
      <c r="O79" s="88"/>
      <c r="P79" s="88"/>
      <c r="Q79" s="61"/>
      <c r="R79" s="73"/>
      <c r="S79" s="65" t="e">
        <f t="shared" ca="1" si="23"/>
        <v>#NAME?</v>
      </c>
      <c r="T79" s="74"/>
      <c r="U79" s="74"/>
      <c r="V79" s="113" t="str">
        <f t="shared" si="18"/>
        <v>pIG074  ()</v>
      </c>
      <c r="X79" s="98"/>
      <c r="Y79" s="128">
        <f t="shared" si="22"/>
        <v>0</v>
      </c>
      <c r="Z79" s="131"/>
      <c r="AA79" s="107"/>
      <c r="AB79" s="107"/>
      <c r="AC79" s="108" t="str">
        <f t="shared" si="16"/>
        <v/>
      </c>
      <c r="AD79" s="109" t="str">
        <f t="shared" si="19"/>
        <v/>
      </c>
      <c r="AE79" s="110" t="str">
        <f t="shared" si="20"/>
        <v/>
      </c>
      <c r="AF79" s="95"/>
      <c r="AG79" s="108" t="str">
        <f t="shared" si="21"/>
        <v/>
      </c>
      <c r="AH79" s="111" t="str">
        <f t="shared" si="24"/>
        <v/>
      </c>
      <c r="AI79" s="96"/>
      <c r="AJ79" s="109"/>
      <c r="AK79" s="110"/>
      <c r="AL79" s="109"/>
      <c r="AM79" s="149"/>
      <c r="AO79" s="68"/>
      <c r="AP79" s="154" t="str">
        <f t="shared" si="25"/>
        <v>pIG074</v>
      </c>
      <c r="AQ79" s="154">
        <f t="shared" si="26"/>
        <v>0</v>
      </c>
      <c r="AR79" s="155">
        <f t="shared" si="27"/>
        <v>0</v>
      </c>
      <c r="AS79" s="153">
        <f t="shared" si="28"/>
        <v>0</v>
      </c>
      <c r="AT79" s="118">
        <f t="shared" si="29"/>
        <v>0</v>
      </c>
    </row>
    <row r="80" spans="1:46" s="59" customFormat="1" ht="14.4" x14ac:dyDescent="0.55000000000000004">
      <c r="A80" s="78"/>
      <c r="B80" s="170" t="s">
        <v>555</v>
      </c>
      <c r="C80" s="18"/>
      <c r="D80" s="70"/>
      <c r="E80" s="75"/>
      <c r="F80" s="70"/>
      <c r="G80" s="70"/>
      <c r="H80" s="59" t="s">
        <v>33</v>
      </c>
      <c r="I80" s="88"/>
      <c r="J80" s="88"/>
      <c r="K80" s="88"/>
      <c r="L80" s="88"/>
      <c r="M80" s="88"/>
      <c r="N80" s="88"/>
      <c r="O80" s="88"/>
      <c r="P80" s="88"/>
      <c r="Q80" s="61"/>
      <c r="R80" s="73"/>
      <c r="S80" s="65" t="e">
        <f t="shared" ca="1" si="23"/>
        <v>#NAME?</v>
      </c>
      <c r="T80" s="76"/>
      <c r="U80" s="74"/>
      <c r="V80" s="113" t="str">
        <f t="shared" si="18"/>
        <v>pIG075  ()</v>
      </c>
      <c r="X80" s="98"/>
      <c r="Y80" s="128">
        <f t="shared" si="22"/>
        <v>0</v>
      </c>
      <c r="Z80" s="131"/>
      <c r="AA80" s="107"/>
      <c r="AB80" s="107"/>
      <c r="AC80" s="108" t="str">
        <f t="shared" si="16"/>
        <v/>
      </c>
      <c r="AD80" s="109" t="str">
        <f t="shared" si="19"/>
        <v/>
      </c>
      <c r="AE80" s="110" t="str">
        <f t="shared" si="20"/>
        <v/>
      </c>
      <c r="AF80" s="95"/>
      <c r="AG80" s="108" t="str">
        <f t="shared" si="21"/>
        <v/>
      </c>
      <c r="AH80" s="111" t="str">
        <f t="shared" si="24"/>
        <v/>
      </c>
      <c r="AI80" s="96"/>
      <c r="AJ80" s="109"/>
      <c r="AK80" s="110"/>
      <c r="AL80" s="109"/>
      <c r="AM80" s="149"/>
      <c r="AO80" s="68"/>
      <c r="AP80" s="154" t="str">
        <f t="shared" si="25"/>
        <v>pIG075</v>
      </c>
      <c r="AQ80" s="154">
        <f t="shared" si="26"/>
        <v>0</v>
      </c>
      <c r="AR80" s="155">
        <f t="shared" si="27"/>
        <v>0</v>
      </c>
      <c r="AS80" s="153">
        <f t="shared" si="28"/>
        <v>0</v>
      </c>
      <c r="AT80" s="118">
        <f t="shared" si="29"/>
        <v>0</v>
      </c>
    </row>
    <row r="81" spans="1:46" s="59" customFormat="1" ht="14.4" x14ac:dyDescent="0.55000000000000004">
      <c r="A81" s="78"/>
      <c r="B81" s="170" t="s">
        <v>556</v>
      </c>
      <c r="C81" s="94"/>
      <c r="D81" s="94"/>
      <c r="E81" s="94"/>
      <c r="F81" s="70"/>
      <c r="G81" s="70"/>
      <c r="H81" s="59" t="s">
        <v>33</v>
      </c>
      <c r="I81" s="88"/>
      <c r="J81" s="88"/>
      <c r="K81" s="88"/>
      <c r="L81" s="88"/>
      <c r="M81" s="88"/>
      <c r="N81" s="88"/>
      <c r="O81" s="88"/>
      <c r="P81" s="88"/>
      <c r="Q81" s="61"/>
      <c r="R81" s="73"/>
      <c r="S81" s="65" t="e">
        <f t="shared" ca="1" si="23"/>
        <v>#NAME?</v>
      </c>
      <c r="T81" s="87"/>
      <c r="U81" s="112"/>
      <c r="V81" s="113" t="str">
        <f t="shared" si="18"/>
        <v>pIG076  ()</v>
      </c>
      <c r="X81" s="98"/>
      <c r="Y81" s="128">
        <f t="shared" si="22"/>
        <v>0</v>
      </c>
      <c r="Z81" s="131"/>
      <c r="AA81" s="107"/>
      <c r="AB81" s="107"/>
      <c r="AC81" s="108" t="str">
        <f t="shared" si="16"/>
        <v/>
      </c>
      <c r="AD81" s="109" t="str">
        <f t="shared" si="19"/>
        <v/>
      </c>
      <c r="AE81" s="110" t="str">
        <f t="shared" si="20"/>
        <v/>
      </c>
      <c r="AF81" s="95"/>
      <c r="AG81" s="108" t="str">
        <f t="shared" si="21"/>
        <v/>
      </c>
      <c r="AH81" s="111" t="str">
        <f t="shared" si="24"/>
        <v/>
      </c>
      <c r="AI81" s="96"/>
      <c r="AJ81" s="109"/>
      <c r="AK81" s="110"/>
      <c r="AL81" s="109"/>
      <c r="AM81" s="150"/>
      <c r="AO81" s="68"/>
      <c r="AP81" s="154" t="str">
        <f t="shared" si="25"/>
        <v>pIG076</v>
      </c>
      <c r="AQ81" s="154">
        <f t="shared" si="26"/>
        <v>0</v>
      </c>
      <c r="AR81" s="155">
        <f t="shared" si="27"/>
        <v>0</v>
      </c>
      <c r="AS81" s="153">
        <f t="shared" si="28"/>
        <v>0</v>
      </c>
      <c r="AT81" s="118">
        <f t="shared" si="29"/>
        <v>0</v>
      </c>
    </row>
    <row r="82" spans="1:46" s="59" customFormat="1" ht="14.4" x14ac:dyDescent="0.55000000000000004">
      <c r="A82" s="78"/>
      <c r="B82" s="170" t="s">
        <v>557</v>
      </c>
      <c r="C82" s="94"/>
      <c r="D82" s="94"/>
      <c r="E82" s="94"/>
      <c r="F82" s="115"/>
      <c r="G82" s="115"/>
      <c r="H82" s="59" t="s">
        <v>33</v>
      </c>
      <c r="I82" s="88"/>
      <c r="J82" s="88"/>
      <c r="K82" s="88"/>
      <c r="L82" s="88"/>
      <c r="M82" s="88"/>
      <c r="N82" s="88"/>
      <c r="O82" s="88"/>
      <c r="P82" s="88"/>
      <c r="Q82" s="61"/>
      <c r="R82" s="73"/>
      <c r="S82" s="65" t="e">
        <f t="shared" ca="1" si="23"/>
        <v>#NAME?</v>
      </c>
      <c r="T82" s="112"/>
      <c r="U82" s="112"/>
      <c r="V82" s="113" t="str">
        <f t="shared" si="18"/>
        <v>pIG077  ()</v>
      </c>
      <c r="X82" s="98"/>
      <c r="Y82" s="128">
        <f t="shared" si="22"/>
        <v>0</v>
      </c>
      <c r="Z82" s="131"/>
      <c r="AA82" s="107"/>
      <c r="AB82" s="107"/>
      <c r="AC82" s="108" t="str">
        <f t="shared" si="16"/>
        <v/>
      </c>
      <c r="AD82" s="109" t="str">
        <f t="shared" si="19"/>
        <v/>
      </c>
      <c r="AE82" s="110" t="str">
        <f t="shared" si="20"/>
        <v/>
      </c>
      <c r="AF82" s="95"/>
      <c r="AG82" s="108" t="str">
        <f t="shared" si="21"/>
        <v/>
      </c>
      <c r="AH82" s="111" t="str">
        <f t="shared" si="24"/>
        <v/>
      </c>
      <c r="AI82" s="96"/>
      <c r="AJ82" s="109"/>
      <c r="AK82" s="110"/>
      <c r="AL82" s="109"/>
      <c r="AM82" s="150"/>
      <c r="AO82" s="68"/>
      <c r="AP82" s="154" t="str">
        <f t="shared" si="25"/>
        <v>pIG077</v>
      </c>
      <c r="AQ82" s="154">
        <f t="shared" si="26"/>
        <v>0</v>
      </c>
      <c r="AR82" s="155">
        <f t="shared" si="27"/>
        <v>0</v>
      </c>
      <c r="AS82" s="153">
        <f t="shared" si="28"/>
        <v>0</v>
      </c>
      <c r="AT82" s="118">
        <f t="shared" si="29"/>
        <v>0</v>
      </c>
    </row>
    <row r="83" spans="1:46" s="59" customFormat="1" ht="14.4" x14ac:dyDescent="0.55000000000000004">
      <c r="A83" s="78"/>
      <c r="B83" s="170" t="s">
        <v>558</v>
      </c>
      <c r="C83" s="94"/>
      <c r="D83" s="94"/>
      <c r="E83" s="18"/>
      <c r="F83" s="70"/>
      <c r="G83" s="70"/>
      <c r="H83" s="59" t="s">
        <v>33</v>
      </c>
      <c r="I83" s="88"/>
      <c r="J83" s="88"/>
      <c r="K83" s="88"/>
      <c r="L83" s="88"/>
      <c r="M83" s="88"/>
      <c r="N83" s="88"/>
      <c r="O83" s="88"/>
      <c r="P83" s="88"/>
      <c r="Q83" s="61"/>
      <c r="R83" s="73"/>
      <c r="S83" s="65" t="e">
        <f t="shared" ca="1" si="23"/>
        <v>#NAME?</v>
      </c>
      <c r="T83" s="112"/>
      <c r="U83" s="112"/>
      <c r="V83" s="113" t="str">
        <f t="shared" si="18"/>
        <v>pIG078  ()</v>
      </c>
      <c r="X83" s="98"/>
      <c r="Y83" s="128">
        <f t="shared" si="22"/>
        <v>0</v>
      </c>
      <c r="Z83" s="131"/>
      <c r="AA83" s="107"/>
      <c r="AB83" s="107"/>
      <c r="AC83" s="108" t="str">
        <f t="shared" si="16"/>
        <v/>
      </c>
      <c r="AD83" s="109" t="str">
        <f t="shared" si="19"/>
        <v/>
      </c>
      <c r="AE83" s="110" t="str">
        <f t="shared" si="20"/>
        <v/>
      </c>
      <c r="AF83" s="95"/>
      <c r="AG83" s="108" t="str">
        <f t="shared" si="21"/>
        <v/>
      </c>
      <c r="AH83" s="111" t="str">
        <f t="shared" si="24"/>
        <v/>
      </c>
      <c r="AI83" s="96"/>
      <c r="AJ83" s="109"/>
      <c r="AK83" s="110"/>
      <c r="AL83" s="109"/>
      <c r="AM83" s="149"/>
      <c r="AO83" s="68"/>
      <c r="AP83" s="154" t="str">
        <f t="shared" si="25"/>
        <v>pIG078</v>
      </c>
      <c r="AQ83" s="154">
        <f t="shared" si="26"/>
        <v>0</v>
      </c>
      <c r="AR83" s="155">
        <f t="shared" si="27"/>
        <v>0</v>
      </c>
      <c r="AS83" s="153">
        <f t="shared" si="28"/>
        <v>0</v>
      </c>
      <c r="AT83" s="118">
        <f t="shared" si="29"/>
        <v>0</v>
      </c>
    </row>
    <row r="84" spans="1:46" s="59" customFormat="1" ht="14.4" x14ac:dyDescent="0.55000000000000004">
      <c r="A84" s="78"/>
      <c r="B84" s="170" t="s">
        <v>559</v>
      </c>
      <c r="C84" s="94"/>
      <c r="D84" s="94"/>
      <c r="E84" s="18"/>
      <c r="F84" s="70"/>
      <c r="G84" s="70"/>
      <c r="H84" s="59" t="s">
        <v>33</v>
      </c>
      <c r="I84" s="88"/>
      <c r="J84" s="88"/>
      <c r="K84" s="88"/>
      <c r="L84" s="88"/>
      <c r="M84" s="88"/>
      <c r="N84" s="88"/>
      <c r="O84" s="88"/>
      <c r="P84" s="88"/>
      <c r="Q84" s="61"/>
      <c r="R84" s="73"/>
      <c r="S84" s="65" t="e">
        <f t="shared" ca="1" si="23"/>
        <v>#NAME?</v>
      </c>
      <c r="T84" s="87"/>
      <c r="U84" s="112"/>
      <c r="V84" s="113" t="str">
        <f t="shared" si="18"/>
        <v>pIG079  ()</v>
      </c>
      <c r="X84" s="98"/>
      <c r="Y84" s="128">
        <f t="shared" si="22"/>
        <v>0</v>
      </c>
      <c r="Z84" s="131"/>
      <c r="AA84" s="107"/>
      <c r="AB84" s="107"/>
      <c r="AC84" s="108" t="str">
        <f t="shared" si="16"/>
        <v/>
      </c>
      <c r="AD84" s="109" t="str">
        <f t="shared" si="19"/>
        <v/>
      </c>
      <c r="AE84" s="110" t="str">
        <f t="shared" si="20"/>
        <v/>
      </c>
      <c r="AF84" s="95"/>
      <c r="AG84" s="108" t="str">
        <f t="shared" si="21"/>
        <v/>
      </c>
      <c r="AH84" s="111" t="str">
        <f t="shared" si="24"/>
        <v/>
      </c>
      <c r="AI84" s="96"/>
      <c r="AJ84" s="109"/>
      <c r="AK84" s="110"/>
      <c r="AL84" s="109"/>
      <c r="AM84" s="150"/>
      <c r="AO84" s="68"/>
      <c r="AP84" s="154" t="str">
        <f t="shared" si="25"/>
        <v>pIG079</v>
      </c>
      <c r="AQ84" s="154">
        <f t="shared" si="26"/>
        <v>0</v>
      </c>
      <c r="AR84" s="155">
        <f t="shared" si="27"/>
        <v>0</v>
      </c>
      <c r="AS84" s="153">
        <f t="shared" si="28"/>
        <v>0</v>
      </c>
      <c r="AT84" s="118">
        <f t="shared" si="29"/>
        <v>0</v>
      </c>
    </row>
    <row r="85" spans="1:46" s="59" customFormat="1" ht="14.4" x14ac:dyDescent="0.55000000000000004">
      <c r="A85" s="78"/>
      <c r="B85" s="170" t="s">
        <v>560</v>
      </c>
      <c r="C85" s="94"/>
      <c r="D85" s="94"/>
      <c r="E85" s="94"/>
      <c r="F85" s="70"/>
      <c r="G85" s="70"/>
      <c r="H85" s="59" t="s">
        <v>33</v>
      </c>
      <c r="I85" s="88"/>
      <c r="J85" s="88"/>
      <c r="K85" s="88"/>
      <c r="L85" s="88"/>
      <c r="M85" s="88"/>
      <c r="N85" s="88"/>
      <c r="O85" s="88"/>
      <c r="P85" s="88"/>
      <c r="Q85" s="61"/>
      <c r="R85" s="73"/>
      <c r="S85" s="65" t="e">
        <f t="shared" ca="1" si="23"/>
        <v>#NAME?</v>
      </c>
      <c r="T85" s="87"/>
      <c r="U85" s="119"/>
      <c r="V85" s="113" t="str">
        <f t="shared" si="18"/>
        <v>pIG080  ()</v>
      </c>
      <c r="X85" s="98"/>
      <c r="Y85" s="128">
        <f t="shared" si="22"/>
        <v>0</v>
      </c>
      <c r="Z85" s="131"/>
      <c r="AA85" s="107"/>
      <c r="AB85" s="107"/>
      <c r="AC85" s="108" t="str">
        <f t="shared" ref="AC85:AC87" si="30">IF($AB85="",IF(OR($Y85="",$Z85=""),"",($Z85*10^-9/10^-6)/($Y85*615.88)*10^9),$AB85)</f>
        <v/>
      </c>
      <c r="AD85" s="109" t="str">
        <f t="shared" si="19"/>
        <v/>
      </c>
      <c r="AE85" s="110" t="str">
        <f t="shared" si="20"/>
        <v/>
      </c>
      <c r="AF85" s="95"/>
      <c r="AG85" s="108" t="str">
        <f t="shared" si="21"/>
        <v/>
      </c>
      <c r="AH85" s="111" t="str">
        <f t="shared" si="24"/>
        <v/>
      </c>
      <c r="AI85" s="96"/>
      <c r="AJ85" s="109"/>
      <c r="AK85" s="110"/>
      <c r="AL85" s="109"/>
      <c r="AM85" s="150"/>
      <c r="AO85" s="68"/>
      <c r="AP85" s="154" t="str">
        <f t="shared" si="25"/>
        <v>pIG080</v>
      </c>
      <c r="AQ85" s="154">
        <f t="shared" si="26"/>
        <v>0</v>
      </c>
      <c r="AR85" s="155">
        <f t="shared" si="27"/>
        <v>0</v>
      </c>
      <c r="AS85" s="153">
        <f t="shared" si="28"/>
        <v>0</v>
      </c>
      <c r="AT85" s="118">
        <f t="shared" si="29"/>
        <v>0</v>
      </c>
    </row>
    <row r="86" spans="1:46" s="59" customFormat="1" ht="14.4" x14ac:dyDescent="0.55000000000000004">
      <c r="A86" s="78"/>
      <c r="B86" s="170" t="s">
        <v>561</v>
      </c>
      <c r="C86" s="94"/>
      <c r="D86" s="94"/>
      <c r="E86" s="94"/>
      <c r="F86" s="70"/>
      <c r="G86" s="70"/>
      <c r="H86" s="59" t="s">
        <v>33</v>
      </c>
      <c r="I86" s="88"/>
      <c r="J86" s="88"/>
      <c r="K86" s="88"/>
      <c r="L86" s="88"/>
      <c r="M86" s="88"/>
      <c r="N86" s="88"/>
      <c r="O86" s="88"/>
      <c r="P86" s="88"/>
      <c r="Q86" s="61"/>
      <c r="R86" s="73"/>
      <c r="S86" s="65" t="e">
        <f t="shared" ca="1" si="23"/>
        <v>#NAME?</v>
      </c>
      <c r="T86" s="118"/>
      <c r="U86" s="119"/>
      <c r="V86" s="113" t="str">
        <f t="shared" si="18"/>
        <v>pIG081  ()</v>
      </c>
      <c r="X86" s="98"/>
      <c r="Y86" s="128">
        <f t="shared" si="22"/>
        <v>0</v>
      </c>
      <c r="Z86" s="131"/>
      <c r="AA86" s="107"/>
      <c r="AB86" s="107"/>
      <c r="AC86" s="108" t="str">
        <f t="shared" si="30"/>
        <v/>
      </c>
      <c r="AD86" s="109" t="str">
        <f t="shared" si="19"/>
        <v/>
      </c>
      <c r="AE86" s="110" t="str">
        <f t="shared" si="20"/>
        <v/>
      </c>
      <c r="AF86" s="95"/>
      <c r="AG86" s="108" t="str">
        <f t="shared" si="21"/>
        <v/>
      </c>
      <c r="AH86" s="111" t="str">
        <f t="shared" si="24"/>
        <v/>
      </c>
      <c r="AI86" s="96"/>
      <c r="AJ86" s="109"/>
      <c r="AK86" s="110"/>
      <c r="AL86" s="109"/>
      <c r="AM86" s="150"/>
      <c r="AO86" s="68"/>
      <c r="AP86" s="154" t="str">
        <f t="shared" si="25"/>
        <v>pIG081</v>
      </c>
      <c r="AQ86" s="154">
        <f t="shared" si="26"/>
        <v>0</v>
      </c>
      <c r="AR86" s="155">
        <f t="shared" si="27"/>
        <v>0</v>
      </c>
      <c r="AS86" s="153">
        <f t="shared" si="28"/>
        <v>0</v>
      </c>
      <c r="AT86" s="118">
        <f t="shared" si="29"/>
        <v>0</v>
      </c>
    </row>
    <row r="87" spans="1:46" ht="14.4" x14ac:dyDescent="0.55000000000000004">
      <c r="B87" s="114" t="s">
        <v>562</v>
      </c>
      <c r="C87" s="114"/>
      <c r="F87" s="70"/>
      <c r="G87" s="70"/>
      <c r="H87" s="59" t="s">
        <v>33</v>
      </c>
      <c r="I87" s="88"/>
      <c r="J87" s="88"/>
      <c r="K87" s="88"/>
      <c r="L87" s="88"/>
      <c r="M87" s="88"/>
      <c r="N87" s="88"/>
      <c r="O87" s="88"/>
      <c r="P87" s="88"/>
      <c r="Q87" s="61"/>
      <c r="S87" s="65" t="e">
        <f t="shared" ca="1" si="23"/>
        <v>#NAME?</v>
      </c>
      <c r="V87" s="113" t="str">
        <f t="shared" si="18"/>
        <v>piG101  ()</v>
      </c>
      <c r="X87" s="98"/>
      <c r="Y87" s="128">
        <f t="shared" si="22"/>
        <v>0</v>
      </c>
      <c r="Z87" s="131"/>
      <c r="AA87" s="107"/>
      <c r="AB87" s="107"/>
      <c r="AC87" s="108" t="str">
        <f t="shared" si="30"/>
        <v/>
      </c>
      <c r="AD87" s="109" t="str">
        <f t="shared" si="19"/>
        <v/>
      </c>
      <c r="AE87" s="110" t="str">
        <f t="shared" si="20"/>
        <v/>
      </c>
      <c r="AF87" s="95"/>
      <c r="AG87" s="108" t="str">
        <f t="shared" si="21"/>
        <v/>
      </c>
      <c r="AH87" s="111" t="str">
        <f t="shared" si="24"/>
        <v/>
      </c>
      <c r="AI87" s="96"/>
      <c r="AJ87" s="109"/>
      <c r="AK87" s="110"/>
      <c r="AL87" s="109"/>
      <c r="AM87" s="148"/>
      <c r="AP87" s="154" t="str">
        <f t="shared" si="25"/>
        <v>piG101</v>
      </c>
      <c r="AQ87" s="154">
        <f t="shared" si="26"/>
        <v>0</v>
      </c>
      <c r="AR87" s="155">
        <f t="shared" si="27"/>
        <v>0</v>
      </c>
      <c r="AS87" s="153">
        <f t="shared" si="28"/>
        <v>0</v>
      </c>
      <c r="AT87" s="118">
        <f t="shared" si="29"/>
        <v>0</v>
      </c>
    </row>
  </sheetData>
  <mergeCells count="20">
    <mergeCell ref="AP1:AU1"/>
    <mergeCell ref="AJ1:AO1"/>
    <mergeCell ref="Z1:AI1"/>
    <mergeCell ref="X2:X3"/>
    <mergeCell ref="V2:V3"/>
    <mergeCell ref="Y2:Y3"/>
    <mergeCell ref="AJ3:AK3"/>
    <mergeCell ref="AD2:AE2"/>
    <mergeCell ref="T2:U2"/>
    <mergeCell ref="A1:B1"/>
    <mergeCell ref="A2:A3"/>
    <mergeCell ref="B2:B3"/>
    <mergeCell ref="D2:D3"/>
    <mergeCell ref="R2:S2"/>
    <mergeCell ref="C2:C3"/>
    <mergeCell ref="C1:H1"/>
    <mergeCell ref="E2:E3"/>
    <mergeCell ref="F2:F3"/>
    <mergeCell ref="G2:G3"/>
    <mergeCell ref="H2:H3"/>
  </mergeCells>
  <pageMargins left="0.7" right="0.7" top="0.75" bottom="0.75" header="0.3" footer="0.3"/>
  <pageSetup orientation="portrait" r:id="rId1"/>
  <ignoredErrors>
    <ignoredError sqref="I2:P2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published="0" codeName="Sheet3">
    <tabColor theme="4"/>
  </sheetPr>
  <dimension ref="A1:R406"/>
  <sheetViews>
    <sheetView zoomScale="115" zoomScaleNormal="115" workbookViewId="0">
      <pane xSplit="2" topLeftCell="C1" activePane="topRight" state="frozen"/>
      <selection activeCell="A258" sqref="A258"/>
      <selection pane="topRight" activeCell="C49" sqref="C49"/>
    </sheetView>
  </sheetViews>
  <sheetFormatPr defaultColWidth="8.89453125" defaultRowHeight="14.4" x14ac:dyDescent="0.55000000000000004"/>
  <cols>
    <col min="1" max="1" width="4.89453125" style="1" customWidth="1"/>
    <col min="2" max="2" width="23.41796875" style="1" customWidth="1"/>
    <col min="3" max="3" width="25" style="3" customWidth="1"/>
    <col min="4" max="4" width="62.20703125" style="1" customWidth="1"/>
    <col min="5" max="5" width="19.1015625" style="1" customWidth="1"/>
    <col min="6" max="6" width="9.68359375" style="1" customWidth="1"/>
    <col min="7" max="14" width="8.89453125" style="1"/>
    <col min="15" max="15" width="16.89453125" style="1" customWidth="1"/>
    <col min="16" max="16384" width="8.89453125" style="1"/>
  </cols>
  <sheetData>
    <row r="1" spans="1:12" x14ac:dyDescent="0.55000000000000004">
      <c r="A1" s="4" t="s">
        <v>116</v>
      </c>
      <c r="B1" s="4" t="s">
        <v>5</v>
      </c>
      <c r="C1" s="5" t="s">
        <v>568</v>
      </c>
      <c r="D1" s="4" t="s">
        <v>1</v>
      </c>
      <c r="E1" s="4" t="s">
        <v>4</v>
      </c>
      <c r="F1" s="6" t="s">
        <v>2</v>
      </c>
    </row>
    <row r="2" spans="1:12" x14ac:dyDescent="0.55000000000000004">
      <c r="A2" s="2" t="s">
        <v>35</v>
      </c>
      <c r="B2" s="1" t="s">
        <v>215</v>
      </c>
      <c r="C2" s="172" t="str">
        <f t="shared" ref="C2:C65" si="0">CONCATENATE(A2," ",B2)</f>
        <v>A01 (2) P1 Plac/ara-1</v>
      </c>
      <c r="D2" s="9" t="s">
        <v>569</v>
      </c>
      <c r="F2" s="175">
        <f>LEN(Table3[[#This Row],[Sequence]])</f>
        <v>34</v>
      </c>
    </row>
    <row r="3" spans="1:12" x14ac:dyDescent="0.55000000000000004">
      <c r="A3" s="2" t="s">
        <v>36</v>
      </c>
      <c r="C3" s="172" t="str">
        <f t="shared" si="0"/>
        <v xml:space="preserve">A02 </v>
      </c>
      <c r="D3" s="9"/>
      <c r="F3" s="175">
        <f>LEN(Table3[[#This Row],[Sequence]])</f>
        <v>0</v>
      </c>
    </row>
    <row r="4" spans="1:12" x14ac:dyDescent="0.55000000000000004">
      <c r="A4" s="2" t="s">
        <v>37</v>
      </c>
      <c r="C4" s="172" t="str">
        <f t="shared" si="0"/>
        <v xml:space="preserve">A03 </v>
      </c>
      <c r="D4" s="9"/>
      <c r="F4" s="175">
        <f>LEN(Table3[[#This Row],[Sequence]])</f>
        <v>0</v>
      </c>
    </row>
    <row r="5" spans="1:12" x14ac:dyDescent="0.55000000000000004">
      <c r="A5" s="2" t="s">
        <v>38</v>
      </c>
      <c r="C5" s="172" t="str">
        <f t="shared" si="0"/>
        <v xml:space="preserve">A04 </v>
      </c>
      <c r="D5" s="9"/>
      <c r="F5" s="175">
        <f>LEN(Table3[[#This Row],[Sequence]])</f>
        <v>0</v>
      </c>
    </row>
    <row r="6" spans="1:12" x14ac:dyDescent="0.55000000000000004">
      <c r="A6" s="2" t="s">
        <v>39</v>
      </c>
      <c r="C6" s="172" t="str">
        <f t="shared" si="0"/>
        <v xml:space="preserve">A05 </v>
      </c>
      <c r="D6" s="9"/>
      <c r="F6" s="175">
        <f>LEN(Table3[[#This Row],[Sequence]])</f>
        <v>0</v>
      </c>
      <c r="L6" s="2"/>
    </row>
    <row r="7" spans="1:12" x14ac:dyDescent="0.55000000000000004">
      <c r="A7" s="7" t="s">
        <v>40</v>
      </c>
      <c r="B7" s="7"/>
      <c r="C7" s="172" t="str">
        <f t="shared" si="0"/>
        <v xml:space="preserve">A06 </v>
      </c>
      <c r="D7" s="10"/>
      <c r="F7" s="175">
        <f>LEN(Table3[[#This Row],[Sequence]])</f>
        <v>0</v>
      </c>
      <c r="G7" s="11"/>
    </row>
    <row r="8" spans="1:12" x14ac:dyDescent="0.55000000000000004">
      <c r="A8" s="2" t="s">
        <v>41</v>
      </c>
      <c r="C8" s="172" t="str">
        <f t="shared" si="0"/>
        <v xml:space="preserve">A07 </v>
      </c>
      <c r="D8" s="9"/>
      <c r="F8" s="175">
        <f>LEN(Table3[[#This Row],[Sequence]])</f>
        <v>0</v>
      </c>
    </row>
    <row r="9" spans="1:12" x14ac:dyDescent="0.55000000000000004">
      <c r="A9" s="2" t="s">
        <v>42</v>
      </c>
      <c r="C9" s="172" t="str">
        <f t="shared" si="0"/>
        <v xml:space="preserve">A08 </v>
      </c>
      <c r="D9" s="9"/>
      <c r="F9" s="175">
        <f>LEN(Table3[[#This Row],[Sequence]])</f>
        <v>0</v>
      </c>
    </row>
    <row r="10" spans="1:12" x14ac:dyDescent="0.55000000000000004">
      <c r="A10" s="2" t="s">
        <v>43</v>
      </c>
      <c r="C10" s="172" t="str">
        <f t="shared" si="0"/>
        <v xml:space="preserve">A09 </v>
      </c>
      <c r="D10" s="9"/>
      <c r="F10" s="175">
        <f>LEN(Table3[[#This Row],[Sequence]])</f>
        <v>0</v>
      </c>
    </row>
    <row r="11" spans="1:12" x14ac:dyDescent="0.55000000000000004">
      <c r="A11" s="2" t="s">
        <v>44</v>
      </c>
      <c r="C11" s="172" t="str">
        <f t="shared" si="0"/>
        <v xml:space="preserve">A10 </v>
      </c>
      <c r="D11" s="9"/>
      <c r="F11" s="175">
        <f>LEN(Table3[[#This Row],[Sequence]])</f>
        <v>0</v>
      </c>
    </row>
    <row r="12" spans="1:12" x14ac:dyDescent="0.55000000000000004">
      <c r="A12" s="2" t="s">
        <v>45</v>
      </c>
      <c r="C12" s="172" t="str">
        <f t="shared" si="0"/>
        <v xml:space="preserve">A11 </v>
      </c>
      <c r="D12" s="9"/>
      <c r="F12" s="175">
        <f>LEN(Table3[[#This Row],[Sequence]])</f>
        <v>0</v>
      </c>
    </row>
    <row r="13" spans="1:12" x14ac:dyDescent="0.55000000000000004">
      <c r="A13" s="2" t="s">
        <v>46</v>
      </c>
      <c r="C13" s="172" t="str">
        <f t="shared" si="0"/>
        <v xml:space="preserve">A12 </v>
      </c>
      <c r="D13" s="9"/>
      <c r="F13" s="175">
        <f>LEN(Table3[[#This Row],[Sequence]])</f>
        <v>0</v>
      </c>
    </row>
    <row r="14" spans="1:12" x14ac:dyDescent="0.55000000000000004">
      <c r="A14" s="2" t="s">
        <v>47</v>
      </c>
      <c r="C14" s="172" t="str">
        <f t="shared" si="0"/>
        <v xml:space="preserve">A13 </v>
      </c>
      <c r="D14" s="9"/>
      <c r="F14" s="175">
        <f>LEN(Table3[[#This Row],[Sequence]])</f>
        <v>0</v>
      </c>
    </row>
    <row r="15" spans="1:12" x14ac:dyDescent="0.55000000000000004">
      <c r="A15" s="2" t="s">
        <v>48</v>
      </c>
      <c r="C15" s="172" t="str">
        <f t="shared" si="0"/>
        <v xml:space="preserve">A14 </v>
      </c>
      <c r="D15" s="9"/>
      <c r="F15" s="175">
        <f>LEN(Table3[[#This Row],[Sequence]])</f>
        <v>0</v>
      </c>
    </row>
    <row r="16" spans="1:12" x14ac:dyDescent="0.55000000000000004">
      <c r="A16" s="2" t="s">
        <v>49</v>
      </c>
      <c r="C16" s="172" t="str">
        <f t="shared" si="0"/>
        <v xml:space="preserve">A15 </v>
      </c>
      <c r="D16" s="9"/>
      <c r="F16" s="175">
        <f>LEN(Table3[[#This Row],[Sequence]])</f>
        <v>0</v>
      </c>
    </row>
    <row r="17" spans="1:7" x14ac:dyDescent="0.55000000000000004">
      <c r="A17" s="2" t="s">
        <v>50</v>
      </c>
      <c r="C17" s="172" t="str">
        <f t="shared" si="0"/>
        <v xml:space="preserve">A16 </v>
      </c>
      <c r="D17" s="9"/>
      <c r="F17" s="175">
        <f>LEN(Table3[[#This Row],[Sequence]])</f>
        <v>0</v>
      </c>
    </row>
    <row r="18" spans="1:7" x14ac:dyDescent="0.55000000000000004">
      <c r="A18" s="2" t="s">
        <v>51</v>
      </c>
      <c r="C18" s="172" t="str">
        <f t="shared" si="0"/>
        <v xml:space="preserve">A17 </v>
      </c>
      <c r="D18" s="9"/>
      <c r="F18" s="175">
        <f>LEN(Table3[[#This Row],[Sequence]])</f>
        <v>0</v>
      </c>
    </row>
    <row r="19" spans="1:7" x14ac:dyDescent="0.55000000000000004">
      <c r="A19" s="2" t="s">
        <v>52</v>
      </c>
      <c r="C19" s="172" t="str">
        <f t="shared" si="0"/>
        <v xml:space="preserve">A18 </v>
      </c>
      <c r="D19" s="9"/>
      <c r="F19" s="175">
        <f>LEN(Table3[[#This Row],[Sequence]])</f>
        <v>0</v>
      </c>
    </row>
    <row r="20" spans="1:7" x14ac:dyDescent="0.55000000000000004">
      <c r="A20" s="2" t="s">
        <v>53</v>
      </c>
      <c r="C20" s="172" t="str">
        <f t="shared" si="0"/>
        <v xml:space="preserve">A19 </v>
      </c>
      <c r="D20" s="9"/>
      <c r="F20" s="175">
        <f>LEN(Table3[[#This Row],[Sequence]])</f>
        <v>0</v>
      </c>
    </row>
    <row r="21" spans="1:7" x14ac:dyDescent="0.55000000000000004">
      <c r="A21" s="2" t="s">
        <v>54</v>
      </c>
      <c r="C21" s="172" t="str">
        <f t="shared" si="0"/>
        <v xml:space="preserve">A20 </v>
      </c>
      <c r="D21" s="9"/>
      <c r="F21" s="175">
        <f>LEN(Table3[[#This Row],[Sequence]])</f>
        <v>0</v>
      </c>
    </row>
    <row r="22" spans="1:7" x14ac:dyDescent="0.55000000000000004">
      <c r="A22" s="2" t="s">
        <v>55</v>
      </c>
      <c r="C22" s="172" t="str">
        <f t="shared" si="0"/>
        <v xml:space="preserve">A21 </v>
      </c>
      <c r="D22" s="9"/>
      <c r="F22" s="175">
        <f>LEN(Table3[[#This Row],[Sequence]])</f>
        <v>0</v>
      </c>
      <c r="G22" s="1" t="s">
        <v>34</v>
      </c>
    </row>
    <row r="23" spans="1:7" x14ac:dyDescent="0.55000000000000004">
      <c r="A23" s="2" t="s">
        <v>56</v>
      </c>
      <c r="C23" s="172" t="str">
        <f t="shared" si="0"/>
        <v xml:space="preserve">A22 </v>
      </c>
      <c r="D23" s="9"/>
      <c r="F23" s="175">
        <f>LEN(Table3[[#This Row],[Sequence]])</f>
        <v>0</v>
      </c>
    </row>
    <row r="24" spans="1:7" x14ac:dyDescent="0.55000000000000004">
      <c r="A24" s="2" t="s">
        <v>57</v>
      </c>
      <c r="C24" s="172" t="str">
        <f t="shared" si="0"/>
        <v xml:space="preserve">A23 </v>
      </c>
      <c r="D24" s="9"/>
      <c r="F24" s="175">
        <f>LEN(Table3[[#This Row],[Sequence]])</f>
        <v>0</v>
      </c>
      <c r="G24" s="1" t="s">
        <v>34</v>
      </c>
    </row>
    <row r="25" spans="1:7" x14ac:dyDescent="0.55000000000000004">
      <c r="A25" s="2" t="s">
        <v>58</v>
      </c>
      <c r="C25" s="172" t="str">
        <f t="shared" si="0"/>
        <v xml:space="preserve">A24 </v>
      </c>
      <c r="D25" s="9"/>
      <c r="F25" s="175">
        <f>LEN(Table3[[#This Row],[Sequence]])</f>
        <v>0</v>
      </c>
      <c r="G25" s="9"/>
    </row>
    <row r="26" spans="1:7" x14ac:dyDescent="0.55000000000000004">
      <c r="A26" s="2" t="s">
        <v>59</v>
      </c>
      <c r="C26" s="172" t="str">
        <f t="shared" si="0"/>
        <v xml:space="preserve">A25 </v>
      </c>
      <c r="D26" s="9"/>
      <c r="F26" s="175">
        <f>LEN(Table3[[#This Row],[Sequence]])</f>
        <v>0</v>
      </c>
      <c r="G26" s="9"/>
    </row>
    <row r="27" spans="1:7" x14ac:dyDescent="0.55000000000000004">
      <c r="A27" s="2" t="s">
        <v>60</v>
      </c>
      <c r="C27" s="172" t="str">
        <f t="shared" si="0"/>
        <v xml:space="preserve">A26 </v>
      </c>
      <c r="D27" s="9"/>
      <c r="F27" s="175">
        <f>LEN(Table3[[#This Row],[Sequence]])</f>
        <v>0</v>
      </c>
      <c r="G27" s="9"/>
    </row>
    <row r="28" spans="1:7" x14ac:dyDescent="0.55000000000000004">
      <c r="A28" s="2" t="s">
        <v>61</v>
      </c>
      <c r="C28" s="172" t="str">
        <f t="shared" si="0"/>
        <v xml:space="preserve">A27 </v>
      </c>
      <c r="D28" s="9"/>
      <c r="F28" s="175">
        <f>LEN(Table3[[#This Row],[Sequence]])</f>
        <v>0</v>
      </c>
      <c r="G28" s="9"/>
    </row>
    <row r="29" spans="1:7" x14ac:dyDescent="0.55000000000000004">
      <c r="A29" s="2" t="s">
        <v>62</v>
      </c>
      <c r="C29" s="172" t="str">
        <f t="shared" si="0"/>
        <v xml:space="preserve">A28 </v>
      </c>
      <c r="D29" s="9"/>
      <c r="F29" s="175">
        <f>LEN(Table3[[#This Row],[Sequence]])</f>
        <v>0</v>
      </c>
      <c r="G29" s="9"/>
    </row>
    <row r="30" spans="1:7" x14ac:dyDescent="0.55000000000000004">
      <c r="A30" s="2" t="s">
        <v>63</v>
      </c>
      <c r="C30" s="172" t="str">
        <f t="shared" si="0"/>
        <v xml:space="preserve">A29 </v>
      </c>
      <c r="D30" s="9"/>
      <c r="F30" s="175">
        <f>LEN(Table3[[#This Row],[Sequence]])</f>
        <v>0</v>
      </c>
      <c r="G30" s="9"/>
    </row>
    <row r="31" spans="1:7" x14ac:dyDescent="0.55000000000000004">
      <c r="A31" s="2" t="s">
        <v>64</v>
      </c>
      <c r="C31" s="172" t="str">
        <f t="shared" si="0"/>
        <v xml:space="preserve">A30 </v>
      </c>
      <c r="D31" s="9"/>
      <c r="F31" s="175">
        <f>LEN(Table3[[#This Row],[Sequence]])</f>
        <v>0</v>
      </c>
    </row>
    <row r="32" spans="1:7" x14ac:dyDescent="0.55000000000000004">
      <c r="A32" s="2" t="s">
        <v>65</v>
      </c>
      <c r="C32" s="172" t="str">
        <f t="shared" si="0"/>
        <v xml:space="preserve">A31 </v>
      </c>
      <c r="D32" s="9"/>
      <c r="F32" s="175">
        <f>LEN(Table3[[#This Row],[Sequence]])</f>
        <v>0</v>
      </c>
    </row>
    <row r="33" spans="1:8" x14ac:dyDescent="0.55000000000000004">
      <c r="A33" s="2" t="s">
        <v>66</v>
      </c>
      <c r="C33" s="172" t="str">
        <f t="shared" si="0"/>
        <v xml:space="preserve">A32 </v>
      </c>
      <c r="D33" s="9"/>
      <c r="F33" s="175">
        <f>LEN(Table3[[#This Row],[Sequence]])</f>
        <v>0</v>
      </c>
    </row>
    <row r="34" spans="1:8" x14ac:dyDescent="0.55000000000000004">
      <c r="A34" s="2" t="s">
        <v>67</v>
      </c>
      <c r="C34" s="172" t="str">
        <f t="shared" si="0"/>
        <v xml:space="preserve">A33 </v>
      </c>
      <c r="D34" s="9"/>
      <c r="F34" s="175">
        <f>LEN(Table3[[#This Row],[Sequence]])</f>
        <v>0</v>
      </c>
    </row>
    <row r="35" spans="1:8" x14ac:dyDescent="0.55000000000000004">
      <c r="A35" s="2" t="s">
        <v>68</v>
      </c>
      <c r="C35" s="172" t="str">
        <f t="shared" si="0"/>
        <v xml:space="preserve">A34 </v>
      </c>
      <c r="D35" s="9"/>
      <c r="F35" s="175">
        <f>LEN(Table3[[#This Row],[Sequence]])</f>
        <v>0</v>
      </c>
    </row>
    <row r="36" spans="1:8" x14ac:dyDescent="0.55000000000000004">
      <c r="A36" s="2" t="s">
        <v>69</v>
      </c>
      <c r="C36" s="172" t="str">
        <f t="shared" si="0"/>
        <v xml:space="preserve">A35 </v>
      </c>
      <c r="D36" s="9"/>
      <c r="F36" s="175">
        <f>LEN(Table3[[#This Row],[Sequence]])</f>
        <v>0</v>
      </c>
    </row>
    <row r="37" spans="1:8" x14ac:dyDescent="0.55000000000000004">
      <c r="A37" s="2" t="s">
        <v>70</v>
      </c>
      <c r="C37" s="172" t="str">
        <f t="shared" si="0"/>
        <v xml:space="preserve">A36 </v>
      </c>
      <c r="D37" s="9"/>
      <c r="F37" s="175">
        <f>LEN(Table3[[#This Row],[Sequence]])</f>
        <v>0</v>
      </c>
    </row>
    <row r="38" spans="1:8" x14ac:dyDescent="0.55000000000000004">
      <c r="A38" s="2" t="s">
        <v>71</v>
      </c>
      <c r="C38" s="172" t="str">
        <f t="shared" si="0"/>
        <v xml:space="preserve">A37 </v>
      </c>
      <c r="D38" s="9"/>
      <c r="F38" s="175">
        <f>LEN(Table3[[#This Row],[Sequence]])</f>
        <v>0</v>
      </c>
    </row>
    <row r="39" spans="1:8" x14ac:dyDescent="0.55000000000000004">
      <c r="A39" s="2" t="s">
        <v>72</v>
      </c>
      <c r="C39" s="172" t="str">
        <f t="shared" si="0"/>
        <v xml:space="preserve">A38 </v>
      </c>
      <c r="D39" s="9"/>
      <c r="F39" s="175">
        <f>LEN(Table3[[#This Row],[Sequence]])</f>
        <v>0</v>
      </c>
    </row>
    <row r="40" spans="1:8" x14ac:dyDescent="0.55000000000000004">
      <c r="A40" s="2" t="s">
        <v>73</v>
      </c>
      <c r="C40" s="172" t="str">
        <f t="shared" si="0"/>
        <v xml:space="preserve">A39 </v>
      </c>
      <c r="D40" s="9"/>
      <c r="F40" s="175">
        <f>LEN(Table3[[#This Row],[Sequence]])</f>
        <v>0</v>
      </c>
    </row>
    <row r="41" spans="1:8" x14ac:dyDescent="0.55000000000000004">
      <c r="A41" s="2" t="s">
        <v>74</v>
      </c>
      <c r="C41" s="172" t="str">
        <f t="shared" si="0"/>
        <v xml:space="preserve">A40 </v>
      </c>
      <c r="D41" s="13"/>
      <c r="F41" s="175">
        <f>LEN(Table3[[#This Row],[Sequence]])</f>
        <v>0</v>
      </c>
      <c r="H41" s="9"/>
    </row>
    <row r="42" spans="1:8" x14ac:dyDescent="0.55000000000000004">
      <c r="A42" s="2" t="s">
        <v>75</v>
      </c>
      <c r="C42" s="172" t="str">
        <f t="shared" si="0"/>
        <v xml:space="preserve">A41 </v>
      </c>
      <c r="D42" s="12"/>
      <c r="F42" s="175">
        <f>LEN(Table3[[#This Row],[Sequence]])</f>
        <v>0</v>
      </c>
      <c r="H42" s="9"/>
    </row>
    <row r="43" spans="1:8" x14ac:dyDescent="0.55000000000000004">
      <c r="A43" s="2" t="s">
        <v>76</v>
      </c>
      <c r="C43" s="172" t="str">
        <f t="shared" si="0"/>
        <v xml:space="preserve">A42 </v>
      </c>
      <c r="D43" s="13"/>
      <c r="F43" s="175">
        <f>LEN(Table3[[#This Row],[Sequence]])</f>
        <v>0</v>
      </c>
      <c r="H43" s="9"/>
    </row>
    <row r="44" spans="1:8" x14ac:dyDescent="0.55000000000000004">
      <c r="A44" s="2" t="s">
        <v>77</v>
      </c>
      <c r="C44" s="172" t="str">
        <f t="shared" si="0"/>
        <v xml:space="preserve">A43 </v>
      </c>
      <c r="D44" s="12"/>
      <c r="F44" s="175">
        <f>LEN(Table3[[#This Row],[Sequence]])</f>
        <v>0</v>
      </c>
      <c r="H44" s="9"/>
    </row>
    <row r="45" spans="1:8" x14ac:dyDescent="0.55000000000000004">
      <c r="A45" s="2" t="s">
        <v>78</v>
      </c>
      <c r="C45" s="172" t="str">
        <f t="shared" si="0"/>
        <v xml:space="preserve">A44 </v>
      </c>
      <c r="D45" s="9"/>
      <c r="F45" s="175">
        <f>LEN(Table3[[#This Row],[Sequence]])</f>
        <v>0</v>
      </c>
    </row>
    <row r="46" spans="1:8" x14ac:dyDescent="0.55000000000000004">
      <c r="A46" s="2" t="s">
        <v>79</v>
      </c>
      <c r="C46" s="172" t="str">
        <f t="shared" si="0"/>
        <v xml:space="preserve">A45 </v>
      </c>
      <c r="D46" s="9"/>
      <c r="F46" s="175">
        <f>LEN(Table3[[#This Row],[Sequence]])</f>
        <v>0</v>
      </c>
    </row>
    <row r="47" spans="1:8" x14ac:dyDescent="0.55000000000000004">
      <c r="A47" s="2" t="s">
        <v>80</v>
      </c>
      <c r="C47" s="172" t="str">
        <f t="shared" si="0"/>
        <v xml:space="preserve">A46 </v>
      </c>
      <c r="D47" s="9"/>
      <c r="F47" s="175">
        <f>LEN(Table3[[#This Row],[Sequence]])</f>
        <v>0</v>
      </c>
    </row>
    <row r="48" spans="1:8" x14ac:dyDescent="0.55000000000000004">
      <c r="A48" s="2" t="s">
        <v>81</v>
      </c>
      <c r="C48" s="172" t="str">
        <f t="shared" si="0"/>
        <v xml:space="preserve">A47 </v>
      </c>
      <c r="D48" s="9"/>
      <c r="F48" s="175">
        <f>LEN(Table3[[#This Row],[Sequence]])</f>
        <v>0</v>
      </c>
    </row>
    <row r="49" spans="1:6" x14ac:dyDescent="0.55000000000000004">
      <c r="A49" s="2" t="s">
        <v>82</v>
      </c>
      <c r="C49" s="172" t="str">
        <f t="shared" si="0"/>
        <v xml:space="preserve">A48 </v>
      </c>
      <c r="D49" s="9"/>
      <c r="F49" s="175">
        <f>LEN(Table3[[#This Row],[Sequence]])</f>
        <v>0</v>
      </c>
    </row>
    <row r="50" spans="1:6" x14ac:dyDescent="0.55000000000000004">
      <c r="A50" s="2" t="s">
        <v>83</v>
      </c>
      <c r="C50" s="172" t="str">
        <f t="shared" si="0"/>
        <v xml:space="preserve">A49 </v>
      </c>
      <c r="D50" s="9"/>
      <c r="F50" s="175">
        <f>LEN(Table3[[#This Row],[Sequence]])</f>
        <v>0</v>
      </c>
    </row>
    <row r="51" spans="1:6" x14ac:dyDescent="0.55000000000000004">
      <c r="A51" s="2" t="s">
        <v>84</v>
      </c>
      <c r="B51" s="7"/>
      <c r="C51" s="172" t="str">
        <f t="shared" si="0"/>
        <v xml:space="preserve">A50 </v>
      </c>
      <c r="D51" s="10"/>
      <c r="F51" s="175">
        <f>LEN(Table3[[#This Row],[Sequence]])</f>
        <v>0</v>
      </c>
    </row>
    <row r="52" spans="1:6" x14ac:dyDescent="0.55000000000000004">
      <c r="A52" s="2" t="s">
        <v>85</v>
      </c>
      <c r="B52" s="7"/>
      <c r="C52" s="172" t="str">
        <f t="shared" si="0"/>
        <v xml:space="preserve">A51 </v>
      </c>
      <c r="D52" s="10"/>
      <c r="F52" s="175">
        <f>LEN(Table3[[#This Row],[Sequence]])</f>
        <v>0</v>
      </c>
    </row>
    <row r="53" spans="1:6" x14ac:dyDescent="0.55000000000000004">
      <c r="A53" s="2" t="s">
        <v>86</v>
      </c>
      <c r="C53" s="172" t="str">
        <f t="shared" si="0"/>
        <v xml:space="preserve">A52 </v>
      </c>
      <c r="D53" s="9"/>
      <c r="F53" s="175">
        <f>LEN(Table3[[#This Row],[Sequence]])</f>
        <v>0</v>
      </c>
    </row>
    <row r="54" spans="1:6" x14ac:dyDescent="0.55000000000000004">
      <c r="A54" s="2" t="s">
        <v>87</v>
      </c>
      <c r="C54" s="172" t="str">
        <f t="shared" si="0"/>
        <v xml:space="preserve">A53 </v>
      </c>
      <c r="D54" s="9"/>
      <c r="F54" s="175">
        <f>LEN(Table3[[#This Row],[Sequence]])</f>
        <v>0</v>
      </c>
    </row>
    <row r="55" spans="1:6" x14ac:dyDescent="0.55000000000000004">
      <c r="A55" s="2" t="s">
        <v>88</v>
      </c>
      <c r="C55" s="172" t="str">
        <f t="shared" si="0"/>
        <v xml:space="preserve">A54 </v>
      </c>
      <c r="D55" s="9"/>
      <c r="F55" s="175">
        <f>LEN(Table3[[#This Row],[Sequence]])</f>
        <v>0</v>
      </c>
    </row>
    <row r="56" spans="1:6" x14ac:dyDescent="0.55000000000000004">
      <c r="A56" s="2" t="s">
        <v>89</v>
      </c>
      <c r="C56" s="172" t="str">
        <f t="shared" si="0"/>
        <v xml:space="preserve">A55 </v>
      </c>
      <c r="D56" s="9"/>
      <c r="F56" s="175">
        <f>LEN(Table3[[#This Row],[Sequence]])</f>
        <v>0</v>
      </c>
    </row>
    <row r="57" spans="1:6" x14ac:dyDescent="0.55000000000000004">
      <c r="A57" s="2" t="s">
        <v>90</v>
      </c>
      <c r="C57" s="172" t="str">
        <f t="shared" si="0"/>
        <v xml:space="preserve">A56 </v>
      </c>
      <c r="D57" s="9"/>
      <c r="F57" s="175">
        <f>LEN(Table3[[#This Row],[Sequence]])</f>
        <v>0</v>
      </c>
    </row>
    <row r="58" spans="1:6" x14ac:dyDescent="0.55000000000000004">
      <c r="A58" s="2" t="s">
        <v>91</v>
      </c>
      <c r="C58" s="172" t="str">
        <f t="shared" si="0"/>
        <v xml:space="preserve">A57 </v>
      </c>
      <c r="D58" s="9"/>
      <c r="F58" s="175">
        <f>LEN(Table3[[#This Row],[Sequence]])</f>
        <v>0</v>
      </c>
    </row>
    <row r="59" spans="1:6" x14ac:dyDescent="0.55000000000000004">
      <c r="A59" s="2" t="s">
        <v>92</v>
      </c>
      <c r="C59" s="172" t="str">
        <f t="shared" si="0"/>
        <v xml:space="preserve">A58 </v>
      </c>
      <c r="D59" s="9"/>
      <c r="F59" s="175">
        <f>LEN(Table3[[#This Row],[Sequence]])</f>
        <v>0</v>
      </c>
    </row>
    <row r="60" spans="1:6" x14ac:dyDescent="0.55000000000000004">
      <c r="A60" s="2" t="s">
        <v>93</v>
      </c>
      <c r="C60" s="172" t="str">
        <f t="shared" si="0"/>
        <v xml:space="preserve">A59 </v>
      </c>
      <c r="D60" s="9"/>
      <c r="F60" s="175">
        <f>LEN(Table3[[#This Row],[Sequence]])</f>
        <v>0</v>
      </c>
    </row>
    <row r="61" spans="1:6" x14ac:dyDescent="0.55000000000000004">
      <c r="A61" s="2" t="s">
        <v>94</v>
      </c>
      <c r="C61" s="172" t="str">
        <f t="shared" si="0"/>
        <v xml:space="preserve">A60 </v>
      </c>
      <c r="D61" s="9"/>
      <c r="F61" s="175">
        <f>LEN(Table3[[#This Row],[Sequence]])</f>
        <v>0</v>
      </c>
    </row>
    <row r="62" spans="1:6" x14ac:dyDescent="0.55000000000000004">
      <c r="A62" s="2" t="s">
        <v>95</v>
      </c>
      <c r="C62" s="172" t="str">
        <f t="shared" si="0"/>
        <v xml:space="preserve">A61 </v>
      </c>
      <c r="D62" s="9"/>
      <c r="F62" s="175">
        <f>LEN(Table3[[#This Row],[Sequence]])</f>
        <v>0</v>
      </c>
    </row>
    <row r="63" spans="1:6" x14ac:dyDescent="0.55000000000000004">
      <c r="A63" s="2" t="s">
        <v>96</v>
      </c>
      <c r="C63" s="172" t="str">
        <f t="shared" si="0"/>
        <v xml:space="preserve">A62 </v>
      </c>
      <c r="D63" s="9"/>
      <c r="F63" s="175">
        <f>LEN(Table3[[#This Row],[Sequence]])</f>
        <v>0</v>
      </c>
    </row>
    <row r="64" spans="1:6" x14ac:dyDescent="0.55000000000000004">
      <c r="A64" s="2" t="s">
        <v>97</v>
      </c>
      <c r="C64" s="172" t="str">
        <f t="shared" si="0"/>
        <v xml:space="preserve">A63 </v>
      </c>
      <c r="D64" s="9"/>
      <c r="F64" s="175">
        <f>LEN(Table3[[#This Row],[Sequence]])</f>
        <v>0</v>
      </c>
    </row>
    <row r="65" spans="1:6" x14ac:dyDescent="0.55000000000000004">
      <c r="A65" s="2" t="s">
        <v>98</v>
      </c>
      <c r="C65" s="172" t="str">
        <f t="shared" si="0"/>
        <v xml:space="preserve">A64 </v>
      </c>
      <c r="D65" s="9"/>
      <c r="F65" s="175">
        <f>LEN(Table3[[#This Row],[Sequence]])</f>
        <v>0</v>
      </c>
    </row>
    <row r="66" spans="1:6" x14ac:dyDescent="0.55000000000000004">
      <c r="A66" s="2" t="s">
        <v>99</v>
      </c>
      <c r="C66" s="172" t="str">
        <f t="shared" ref="C66:C129" si="1">CONCATENATE(A66," ",B66)</f>
        <v xml:space="preserve">A65 </v>
      </c>
      <c r="D66" s="9"/>
      <c r="F66" s="175">
        <f>LEN(Table3[[#This Row],[Sequence]])</f>
        <v>0</v>
      </c>
    </row>
    <row r="67" spans="1:6" x14ac:dyDescent="0.55000000000000004">
      <c r="A67" s="2" t="s">
        <v>100</v>
      </c>
      <c r="C67" s="172" t="str">
        <f t="shared" si="1"/>
        <v xml:space="preserve">A66 </v>
      </c>
      <c r="D67" s="9"/>
      <c r="F67" s="175">
        <f>LEN(Table3[[#This Row],[Sequence]])</f>
        <v>0</v>
      </c>
    </row>
    <row r="68" spans="1:6" x14ac:dyDescent="0.55000000000000004">
      <c r="A68" s="2" t="s">
        <v>101</v>
      </c>
      <c r="C68" s="172" t="str">
        <f t="shared" si="1"/>
        <v xml:space="preserve">A67 </v>
      </c>
      <c r="D68" s="9"/>
      <c r="F68" s="175">
        <f>LEN(Table3[[#This Row],[Sequence]])</f>
        <v>0</v>
      </c>
    </row>
    <row r="69" spans="1:6" x14ac:dyDescent="0.55000000000000004">
      <c r="A69" s="2" t="s">
        <v>102</v>
      </c>
      <c r="C69" s="172" t="str">
        <f t="shared" si="1"/>
        <v xml:space="preserve">A68 </v>
      </c>
      <c r="D69" s="9"/>
      <c r="F69" s="175">
        <f>LEN(Table3[[#This Row],[Sequence]])</f>
        <v>0</v>
      </c>
    </row>
    <row r="70" spans="1:6" x14ac:dyDescent="0.55000000000000004">
      <c r="A70" s="2" t="s">
        <v>103</v>
      </c>
      <c r="C70" s="172" t="str">
        <f t="shared" si="1"/>
        <v xml:space="preserve">A69 </v>
      </c>
      <c r="D70" s="9"/>
      <c r="F70" s="175">
        <f>LEN(Table3[[#This Row],[Sequence]])</f>
        <v>0</v>
      </c>
    </row>
    <row r="71" spans="1:6" x14ac:dyDescent="0.55000000000000004">
      <c r="A71" s="2" t="s">
        <v>104</v>
      </c>
      <c r="C71" s="172" t="str">
        <f t="shared" si="1"/>
        <v xml:space="preserve">A70 </v>
      </c>
      <c r="D71" s="9"/>
      <c r="F71" s="175">
        <f>LEN(Table3[[#This Row],[Sequence]])</f>
        <v>0</v>
      </c>
    </row>
    <row r="72" spans="1:6" x14ac:dyDescent="0.55000000000000004">
      <c r="A72" s="2" t="s">
        <v>105</v>
      </c>
      <c r="C72" s="172" t="str">
        <f t="shared" si="1"/>
        <v xml:space="preserve">A71 </v>
      </c>
      <c r="D72" s="9"/>
      <c r="F72" s="175">
        <f>LEN(Table3[[#This Row],[Sequence]])</f>
        <v>0</v>
      </c>
    </row>
    <row r="73" spans="1:6" x14ac:dyDescent="0.55000000000000004">
      <c r="A73" s="2" t="s">
        <v>106</v>
      </c>
      <c r="C73" s="172" t="str">
        <f t="shared" si="1"/>
        <v xml:space="preserve">A72 </v>
      </c>
      <c r="D73" s="9"/>
      <c r="F73" s="175">
        <f>LEN(Table3[[#This Row],[Sequence]])</f>
        <v>0</v>
      </c>
    </row>
    <row r="74" spans="1:6" x14ac:dyDescent="0.55000000000000004">
      <c r="A74" s="2" t="s">
        <v>107</v>
      </c>
      <c r="C74" s="172" t="str">
        <f t="shared" si="1"/>
        <v xml:space="preserve">A73 </v>
      </c>
      <c r="D74" s="9"/>
      <c r="F74" s="175">
        <f>LEN(Table3[[#This Row],[Sequence]])</f>
        <v>0</v>
      </c>
    </row>
    <row r="75" spans="1:6" x14ac:dyDescent="0.55000000000000004">
      <c r="A75" s="2" t="s">
        <v>108</v>
      </c>
      <c r="C75" s="172" t="str">
        <f t="shared" si="1"/>
        <v xml:space="preserve">A74 </v>
      </c>
      <c r="D75" s="9"/>
      <c r="F75" s="175">
        <f>LEN(Table3[[#This Row],[Sequence]])</f>
        <v>0</v>
      </c>
    </row>
    <row r="76" spans="1:6" x14ac:dyDescent="0.55000000000000004">
      <c r="A76" s="2" t="s">
        <v>109</v>
      </c>
      <c r="C76" s="172" t="str">
        <f t="shared" si="1"/>
        <v xml:space="preserve">A75 </v>
      </c>
      <c r="D76" s="9"/>
      <c r="F76" s="175">
        <f>LEN(Table3[[#This Row],[Sequence]])</f>
        <v>0</v>
      </c>
    </row>
    <row r="77" spans="1:6" x14ac:dyDescent="0.55000000000000004">
      <c r="A77" s="2" t="s">
        <v>110</v>
      </c>
      <c r="C77" s="172" t="str">
        <f t="shared" si="1"/>
        <v xml:space="preserve">A76 </v>
      </c>
      <c r="D77" s="8"/>
      <c r="F77" s="175">
        <f>LEN(Table3[[#This Row],[Sequence]])</f>
        <v>0</v>
      </c>
    </row>
    <row r="78" spans="1:6" x14ac:dyDescent="0.55000000000000004">
      <c r="A78" s="2" t="s">
        <v>111</v>
      </c>
      <c r="C78" s="172" t="str">
        <f t="shared" si="1"/>
        <v xml:space="preserve">A77 </v>
      </c>
      <c r="D78" s="9"/>
      <c r="F78" s="175">
        <f>LEN(Table3[[#This Row],[Sequence]])</f>
        <v>0</v>
      </c>
    </row>
    <row r="79" spans="1:6" x14ac:dyDescent="0.55000000000000004">
      <c r="A79" s="2" t="s">
        <v>112</v>
      </c>
      <c r="C79" s="172" t="str">
        <f t="shared" si="1"/>
        <v xml:space="preserve">A78 </v>
      </c>
      <c r="D79" s="9"/>
      <c r="F79" s="175">
        <f>LEN(Table3[[#This Row],[Sequence]])</f>
        <v>0</v>
      </c>
    </row>
    <row r="80" spans="1:6" x14ac:dyDescent="0.55000000000000004">
      <c r="A80" s="2" t="s">
        <v>113</v>
      </c>
      <c r="C80" s="172" t="str">
        <f t="shared" si="1"/>
        <v xml:space="preserve">A79 </v>
      </c>
      <c r="D80" s="9"/>
      <c r="F80" s="175">
        <f>LEN(Table3[[#This Row],[Sequence]])</f>
        <v>0</v>
      </c>
    </row>
    <row r="81" spans="1:6" x14ac:dyDescent="0.55000000000000004">
      <c r="A81" s="2" t="s">
        <v>114</v>
      </c>
      <c r="C81" s="172" t="str">
        <f t="shared" si="1"/>
        <v xml:space="preserve">A80 </v>
      </c>
      <c r="D81" s="9"/>
      <c r="F81" s="175">
        <f>LEN(Table3[[#This Row],[Sequence]])</f>
        <v>0</v>
      </c>
    </row>
    <row r="82" spans="1:6" x14ac:dyDescent="0.55000000000000004">
      <c r="A82" s="2" t="s">
        <v>115</v>
      </c>
      <c r="C82" s="172" t="str">
        <f t="shared" si="1"/>
        <v xml:space="preserve">A81 </v>
      </c>
      <c r="D82" s="9"/>
      <c r="F82" s="175">
        <f>LEN(Table3[[#This Row],[Sequence]])</f>
        <v>0</v>
      </c>
    </row>
    <row r="83" spans="1:6" x14ac:dyDescent="0.55000000000000004">
      <c r="A83" s="2" t="s">
        <v>124</v>
      </c>
      <c r="C83" s="173" t="str">
        <f t="shared" si="1"/>
        <v xml:space="preserve">B01 </v>
      </c>
      <c r="D83" s="9"/>
      <c r="F83" s="175">
        <f>LEN(Table3[[#This Row],[Sequence]])</f>
        <v>0</v>
      </c>
    </row>
    <row r="84" spans="1:6" x14ac:dyDescent="0.55000000000000004">
      <c r="A84" s="2" t="s">
        <v>125</v>
      </c>
      <c r="C84" s="173" t="str">
        <f t="shared" si="1"/>
        <v xml:space="preserve">B02 </v>
      </c>
      <c r="D84" s="9"/>
      <c r="F84" s="175">
        <f>LEN(Table3[[#This Row],[Sequence]])</f>
        <v>0</v>
      </c>
    </row>
    <row r="85" spans="1:6" x14ac:dyDescent="0.55000000000000004">
      <c r="A85" s="2" t="s">
        <v>126</v>
      </c>
      <c r="C85" s="173" t="str">
        <f t="shared" si="1"/>
        <v xml:space="preserve">B03 </v>
      </c>
      <c r="D85" s="9"/>
      <c r="F85" s="175">
        <f>LEN(Table3[[#This Row],[Sequence]])</f>
        <v>0</v>
      </c>
    </row>
    <row r="86" spans="1:6" x14ac:dyDescent="0.55000000000000004">
      <c r="A86" s="2" t="s">
        <v>127</v>
      </c>
      <c r="C86" s="173" t="str">
        <f t="shared" si="1"/>
        <v xml:space="preserve">B04 </v>
      </c>
      <c r="D86" s="9"/>
      <c r="F86" s="175">
        <f>LEN(Table3[[#This Row],[Sequence]])</f>
        <v>0</v>
      </c>
    </row>
    <row r="87" spans="1:6" x14ac:dyDescent="0.55000000000000004">
      <c r="A87" s="2" t="s">
        <v>128</v>
      </c>
      <c r="C87" s="173" t="str">
        <f t="shared" si="1"/>
        <v xml:space="preserve">B05 </v>
      </c>
      <c r="D87" s="9"/>
      <c r="F87" s="175">
        <f>LEN(Table3[[#This Row],[Sequence]])</f>
        <v>0</v>
      </c>
    </row>
    <row r="88" spans="1:6" x14ac:dyDescent="0.55000000000000004">
      <c r="A88" s="2" t="s">
        <v>129</v>
      </c>
      <c r="C88" s="173" t="str">
        <f t="shared" si="1"/>
        <v xml:space="preserve">B06 </v>
      </c>
      <c r="D88" s="9"/>
      <c r="F88" s="175">
        <f>LEN(Table3[[#This Row],[Sequence]])</f>
        <v>0</v>
      </c>
    </row>
    <row r="89" spans="1:6" x14ac:dyDescent="0.55000000000000004">
      <c r="A89" s="2" t="s">
        <v>130</v>
      </c>
      <c r="C89" s="173" t="str">
        <f t="shared" si="1"/>
        <v xml:space="preserve">B07 </v>
      </c>
      <c r="D89" s="9"/>
      <c r="F89" s="175">
        <f>LEN(Table3[[#This Row],[Sequence]])</f>
        <v>0</v>
      </c>
    </row>
    <row r="90" spans="1:6" x14ac:dyDescent="0.55000000000000004">
      <c r="A90" s="2" t="s">
        <v>131</v>
      </c>
      <c r="C90" s="173" t="str">
        <f t="shared" si="1"/>
        <v xml:space="preserve">B08 </v>
      </c>
      <c r="D90" s="9"/>
      <c r="F90" s="175">
        <f>LEN(Table3[[#This Row],[Sequence]])</f>
        <v>0</v>
      </c>
    </row>
    <row r="91" spans="1:6" x14ac:dyDescent="0.55000000000000004">
      <c r="A91" s="2" t="s">
        <v>132</v>
      </c>
      <c r="C91" s="173" t="str">
        <f t="shared" si="1"/>
        <v xml:space="preserve">B09 </v>
      </c>
      <c r="D91" s="9"/>
      <c r="F91" s="175">
        <f>LEN(Table3[[#This Row],[Sequence]])</f>
        <v>0</v>
      </c>
    </row>
    <row r="92" spans="1:6" x14ac:dyDescent="0.55000000000000004">
      <c r="A92" s="2" t="s">
        <v>133</v>
      </c>
      <c r="C92" s="173" t="str">
        <f t="shared" si="1"/>
        <v xml:space="preserve">B10 </v>
      </c>
      <c r="D92" s="9"/>
      <c r="F92" s="175">
        <f>LEN(Table3[[#This Row],[Sequence]])</f>
        <v>0</v>
      </c>
    </row>
    <row r="93" spans="1:6" x14ac:dyDescent="0.55000000000000004">
      <c r="A93" s="2" t="s">
        <v>134</v>
      </c>
      <c r="C93" s="173" t="str">
        <f t="shared" si="1"/>
        <v xml:space="preserve">B11 </v>
      </c>
      <c r="D93" s="9"/>
      <c r="F93" s="175">
        <f>LEN(Table3[[#This Row],[Sequence]])</f>
        <v>0</v>
      </c>
    </row>
    <row r="94" spans="1:6" x14ac:dyDescent="0.55000000000000004">
      <c r="A94" s="2" t="s">
        <v>135</v>
      </c>
      <c r="C94" s="173" t="str">
        <f t="shared" si="1"/>
        <v xml:space="preserve">B12 </v>
      </c>
      <c r="D94" s="9"/>
      <c r="F94" s="175">
        <f>LEN(Table3[[#This Row],[Sequence]])</f>
        <v>0</v>
      </c>
    </row>
    <row r="95" spans="1:6" x14ac:dyDescent="0.55000000000000004">
      <c r="A95" s="2" t="s">
        <v>136</v>
      </c>
      <c r="C95" s="173" t="str">
        <f t="shared" si="1"/>
        <v xml:space="preserve">B13 </v>
      </c>
      <c r="D95" s="9"/>
      <c r="F95" s="175">
        <f>LEN(Table3[[#This Row],[Sequence]])</f>
        <v>0</v>
      </c>
    </row>
    <row r="96" spans="1:6" x14ac:dyDescent="0.55000000000000004">
      <c r="A96" s="2" t="s">
        <v>137</v>
      </c>
      <c r="C96" s="173" t="str">
        <f t="shared" si="1"/>
        <v xml:space="preserve">B14 </v>
      </c>
      <c r="D96" s="9"/>
      <c r="F96" s="175">
        <f>LEN(Table3[[#This Row],[Sequence]])</f>
        <v>0</v>
      </c>
    </row>
    <row r="97" spans="1:6" x14ac:dyDescent="0.55000000000000004">
      <c r="A97" s="2" t="s">
        <v>138</v>
      </c>
      <c r="C97" s="173" t="str">
        <f t="shared" si="1"/>
        <v xml:space="preserve">B15 </v>
      </c>
      <c r="D97" s="9"/>
      <c r="F97" s="175">
        <f>LEN(Table3[[#This Row],[Sequence]])</f>
        <v>0</v>
      </c>
    </row>
    <row r="98" spans="1:6" x14ac:dyDescent="0.55000000000000004">
      <c r="A98" s="2" t="s">
        <v>139</v>
      </c>
      <c r="C98" s="174" t="str">
        <f t="shared" si="1"/>
        <v xml:space="preserve">B16 </v>
      </c>
      <c r="D98" s="9"/>
      <c r="F98" s="175">
        <f>LEN(Table3[[#This Row],[Sequence]])</f>
        <v>0</v>
      </c>
    </row>
    <row r="99" spans="1:6" x14ac:dyDescent="0.55000000000000004">
      <c r="A99" s="2" t="s">
        <v>140</v>
      </c>
      <c r="C99" s="173" t="str">
        <f t="shared" si="1"/>
        <v xml:space="preserve">B17 </v>
      </c>
      <c r="D99" s="9"/>
      <c r="F99" s="175">
        <f>LEN(Table3[[#This Row],[Sequence]])</f>
        <v>0</v>
      </c>
    </row>
    <row r="100" spans="1:6" x14ac:dyDescent="0.55000000000000004">
      <c r="A100" s="2" t="s">
        <v>141</v>
      </c>
      <c r="C100" s="173" t="str">
        <f t="shared" si="1"/>
        <v xml:space="preserve">B18 </v>
      </c>
      <c r="D100" s="9"/>
      <c r="F100" s="175">
        <f>LEN(Table3[[#This Row],[Sequence]])</f>
        <v>0</v>
      </c>
    </row>
    <row r="101" spans="1:6" x14ac:dyDescent="0.55000000000000004">
      <c r="A101" s="2" t="s">
        <v>142</v>
      </c>
      <c r="C101" s="173" t="str">
        <f t="shared" si="1"/>
        <v xml:space="preserve">B19 </v>
      </c>
      <c r="D101" s="9"/>
      <c r="F101" s="175">
        <f>LEN(Table3[[#This Row],[Sequence]])</f>
        <v>0</v>
      </c>
    </row>
    <row r="102" spans="1:6" x14ac:dyDescent="0.55000000000000004">
      <c r="A102" s="2" t="s">
        <v>143</v>
      </c>
      <c r="C102" s="173" t="str">
        <f t="shared" si="1"/>
        <v xml:space="preserve">B20 </v>
      </c>
      <c r="D102" s="9"/>
      <c r="F102" s="175">
        <f>LEN(Table3[[#This Row],[Sequence]])</f>
        <v>0</v>
      </c>
    </row>
    <row r="103" spans="1:6" x14ac:dyDescent="0.55000000000000004">
      <c r="A103" s="2" t="s">
        <v>144</v>
      </c>
      <c r="C103" s="173" t="str">
        <f t="shared" si="1"/>
        <v xml:space="preserve">B21 </v>
      </c>
      <c r="D103" s="9"/>
      <c r="F103" s="175">
        <f>LEN(Table3[[#This Row],[Sequence]])</f>
        <v>0</v>
      </c>
    </row>
    <row r="104" spans="1:6" x14ac:dyDescent="0.55000000000000004">
      <c r="A104" s="2" t="s">
        <v>145</v>
      </c>
      <c r="C104" s="173" t="str">
        <f t="shared" si="1"/>
        <v xml:space="preserve">B22 </v>
      </c>
      <c r="D104" s="9"/>
      <c r="F104" s="175">
        <f>LEN(Table3[[#This Row],[Sequence]])</f>
        <v>0</v>
      </c>
    </row>
    <row r="105" spans="1:6" x14ac:dyDescent="0.55000000000000004">
      <c r="A105" s="2" t="s">
        <v>146</v>
      </c>
      <c r="C105" s="173" t="str">
        <f t="shared" si="1"/>
        <v xml:space="preserve">B23 </v>
      </c>
      <c r="D105" s="9"/>
      <c r="F105" s="175">
        <f>LEN(Table3[[#This Row],[Sequence]])</f>
        <v>0</v>
      </c>
    </row>
    <row r="106" spans="1:6" x14ac:dyDescent="0.55000000000000004">
      <c r="A106" s="2" t="s">
        <v>147</v>
      </c>
      <c r="C106" s="173" t="str">
        <f t="shared" si="1"/>
        <v xml:space="preserve">B24 </v>
      </c>
      <c r="D106" s="9"/>
      <c r="F106" s="175">
        <f>LEN(Table3[[#This Row],[Sequence]])</f>
        <v>0</v>
      </c>
    </row>
    <row r="107" spans="1:6" x14ac:dyDescent="0.55000000000000004">
      <c r="A107" s="2" t="s">
        <v>148</v>
      </c>
      <c r="C107" s="173" t="str">
        <f t="shared" si="1"/>
        <v xml:space="preserve">B25 </v>
      </c>
      <c r="D107" s="9"/>
      <c r="F107" s="175">
        <f>LEN(Table3[[#This Row],[Sequence]])</f>
        <v>0</v>
      </c>
    </row>
    <row r="108" spans="1:6" x14ac:dyDescent="0.55000000000000004">
      <c r="A108" s="2" t="s">
        <v>149</v>
      </c>
      <c r="C108" s="173" t="str">
        <f t="shared" si="1"/>
        <v xml:space="preserve">B26 </v>
      </c>
      <c r="D108" s="9"/>
      <c r="F108" s="175">
        <f>LEN(Table3[[#This Row],[Sequence]])</f>
        <v>0</v>
      </c>
    </row>
    <row r="109" spans="1:6" x14ac:dyDescent="0.55000000000000004">
      <c r="A109" s="2" t="s">
        <v>150</v>
      </c>
      <c r="C109" s="173" t="str">
        <f t="shared" si="1"/>
        <v xml:space="preserve">B27 </v>
      </c>
      <c r="D109" s="9"/>
      <c r="F109" s="175">
        <f>LEN(Table3[[#This Row],[Sequence]])</f>
        <v>0</v>
      </c>
    </row>
    <row r="110" spans="1:6" x14ac:dyDescent="0.55000000000000004">
      <c r="A110" s="2" t="s">
        <v>151</v>
      </c>
      <c r="C110" s="173" t="str">
        <f t="shared" si="1"/>
        <v xml:space="preserve">B28 </v>
      </c>
      <c r="D110" s="9"/>
      <c r="F110" s="175">
        <f>LEN(Table3[[#This Row],[Sequence]])</f>
        <v>0</v>
      </c>
    </row>
    <row r="111" spans="1:6" x14ac:dyDescent="0.55000000000000004">
      <c r="A111" s="2" t="s">
        <v>152</v>
      </c>
      <c r="C111" s="173" t="str">
        <f t="shared" si="1"/>
        <v xml:space="preserve">B29 </v>
      </c>
      <c r="D111" s="9"/>
      <c r="F111" s="175">
        <f>LEN(Table3[[#This Row],[Sequence]])</f>
        <v>0</v>
      </c>
    </row>
    <row r="112" spans="1:6" x14ac:dyDescent="0.55000000000000004">
      <c r="A112" s="2" t="s">
        <v>153</v>
      </c>
      <c r="C112" s="173" t="str">
        <f t="shared" si="1"/>
        <v xml:space="preserve">B30 </v>
      </c>
      <c r="D112" s="9"/>
      <c r="F112" s="175">
        <f>LEN(Table3[[#This Row],[Sequence]])</f>
        <v>0</v>
      </c>
    </row>
    <row r="113" spans="1:6" x14ac:dyDescent="0.55000000000000004">
      <c r="A113" s="2" t="s">
        <v>154</v>
      </c>
      <c r="C113" s="173" t="str">
        <f t="shared" si="1"/>
        <v xml:space="preserve">B31 </v>
      </c>
      <c r="D113" s="9"/>
      <c r="F113" s="175">
        <f>LEN(Table3[[#This Row],[Sequence]])</f>
        <v>0</v>
      </c>
    </row>
    <row r="114" spans="1:6" x14ac:dyDescent="0.55000000000000004">
      <c r="A114" s="2" t="s">
        <v>155</v>
      </c>
      <c r="C114" s="173" t="str">
        <f t="shared" si="1"/>
        <v xml:space="preserve">B32 </v>
      </c>
      <c r="D114" s="9"/>
      <c r="F114" s="175">
        <f>LEN(Table3[[#This Row],[Sequence]])</f>
        <v>0</v>
      </c>
    </row>
    <row r="115" spans="1:6" x14ac:dyDescent="0.55000000000000004">
      <c r="A115" s="2" t="s">
        <v>156</v>
      </c>
      <c r="C115" s="173" t="str">
        <f t="shared" si="1"/>
        <v xml:space="preserve">B33 </v>
      </c>
      <c r="D115" s="9"/>
      <c r="F115" s="175">
        <f>LEN(Table3[[#This Row],[Sequence]])</f>
        <v>0</v>
      </c>
    </row>
    <row r="116" spans="1:6" x14ac:dyDescent="0.55000000000000004">
      <c r="A116" s="2" t="s">
        <v>157</v>
      </c>
      <c r="C116" s="173" t="str">
        <f t="shared" si="1"/>
        <v xml:space="preserve">B34 </v>
      </c>
      <c r="D116" s="9"/>
      <c r="F116" s="175">
        <f>LEN(Table3[[#This Row],[Sequence]])</f>
        <v>0</v>
      </c>
    </row>
    <row r="117" spans="1:6" x14ac:dyDescent="0.55000000000000004">
      <c r="A117" s="2" t="s">
        <v>158</v>
      </c>
      <c r="C117" s="173" t="str">
        <f t="shared" si="1"/>
        <v xml:space="preserve">B35 </v>
      </c>
      <c r="D117" s="9"/>
      <c r="F117" s="175">
        <f>LEN(Table3[[#This Row],[Sequence]])</f>
        <v>0</v>
      </c>
    </row>
    <row r="118" spans="1:6" x14ac:dyDescent="0.55000000000000004">
      <c r="A118" s="2" t="s">
        <v>159</v>
      </c>
      <c r="C118" s="173" t="str">
        <f t="shared" si="1"/>
        <v xml:space="preserve">B36 </v>
      </c>
      <c r="D118" s="9"/>
      <c r="F118" s="175">
        <f>LEN(Table3[[#This Row],[Sequence]])</f>
        <v>0</v>
      </c>
    </row>
    <row r="119" spans="1:6" x14ac:dyDescent="0.55000000000000004">
      <c r="A119" s="2" t="s">
        <v>160</v>
      </c>
      <c r="C119" s="173" t="str">
        <f t="shared" si="1"/>
        <v xml:space="preserve">B37 </v>
      </c>
      <c r="D119" s="9"/>
      <c r="F119" s="175">
        <f>LEN(Table3[[#This Row],[Sequence]])</f>
        <v>0</v>
      </c>
    </row>
    <row r="120" spans="1:6" x14ac:dyDescent="0.55000000000000004">
      <c r="A120" s="2" t="s">
        <v>161</v>
      </c>
      <c r="C120" s="173" t="str">
        <f t="shared" si="1"/>
        <v xml:space="preserve">B38 </v>
      </c>
      <c r="D120" s="9"/>
      <c r="F120" s="175">
        <f>LEN(Table3[[#This Row],[Sequence]])</f>
        <v>0</v>
      </c>
    </row>
    <row r="121" spans="1:6" x14ac:dyDescent="0.55000000000000004">
      <c r="A121" s="2" t="s">
        <v>162</v>
      </c>
      <c r="C121" s="173" t="str">
        <f t="shared" si="1"/>
        <v xml:space="preserve">B39 </v>
      </c>
      <c r="D121" s="9"/>
      <c r="F121" s="175">
        <f>LEN(Table3[[#This Row],[Sequence]])</f>
        <v>0</v>
      </c>
    </row>
    <row r="122" spans="1:6" x14ac:dyDescent="0.55000000000000004">
      <c r="A122" s="2" t="s">
        <v>163</v>
      </c>
      <c r="C122" s="173" t="str">
        <f t="shared" si="1"/>
        <v xml:space="preserve">B40 </v>
      </c>
      <c r="D122" s="9"/>
      <c r="F122" s="175">
        <f>LEN(Table3[[#This Row],[Sequence]])</f>
        <v>0</v>
      </c>
    </row>
    <row r="123" spans="1:6" x14ac:dyDescent="0.55000000000000004">
      <c r="A123" s="2" t="s">
        <v>164</v>
      </c>
      <c r="C123" s="173" t="str">
        <f t="shared" si="1"/>
        <v xml:space="preserve">B41 </v>
      </c>
      <c r="D123" s="9"/>
      <c r="F123" s="175">
        <f>LEN(Table3[[#This Row],[Sequence]])</f>
        <v>0</v>
      </c>
    </row>
    <row r="124" spans="1:6" x14ac:dyDescent="0.55000000000000004">
      <c r="A124" s="2" t="s">
        <v>165</v>
      </c>
      <c r="C124" s="173" t="str">
        <f t="shared" si="1"/>
        <v xml:space="preserve">B42 </v>
      </c>
      <c r="D124" s="9"/>
      <c r="F124" s="175">
        <f>LEN(Table3[[#This Row],[Sequence]])</f>
        <v>0</v>
      </c>
    </row>
    <row r="125" spans="1:6" x14ac:dyDescent="0.55000000000000004">
      <c r="A125" s="2" t="s">
        <v>166</v>
      </c>
      <c r="C125" s="173" t="str">
        <f t="shared" si="1"/>
        <v xml:space="preserve">B43 </v>
      </c>
      <c r="D125" s="9"/>
      <c r="F125" s="175">
        <f>LEN(Table3[[#This Row],[Sequence]])</f>
        <v>0</v>
      </c>
    </row>
    <row r="126" spans="1:6" x14ac:dyDescent="0.55000000000000004">
      <c r="A126" s="2" t="s">
        <v>167</v>
      </c>
      <c r="C126" s="173" t="str">
        <f t="shared" si="1"/>
        <v xml:space="preserve">B44 </v>
      </c>
      <c r="D126" s="9"/>
      <c r="F126" s="175">
        <f>LEN(Table3[[#This Row],[Sequence]])</f>
        <v>0</v>
      </c>
    </row>
    <row r="127" spans="1:6" x14ac:dyDescent="0.55000000000000004">
      <c r="A127" s="2" t="s">
        <v>168</v>
      </c>
      <c r="C127" s="173" t="str">
        <f t="shared" si="1"/>
        <v xml:space="preserve">B45 </v>
      </c>
      <c r="D127" s="9"/>
      <c r="F127" s="175">
        <f>LEN(Table3[[#This Row],[Sequence]])</f>
        <v>0</v>
      </c>
    </row>
    <row r="128" spans="1:6" x14ac:dyDescent="0.55000000000000004">
      <c r="A128" s="2" t="s">
        <v>169</v>
      </c>
      <c r="C128" s="173" t="str">
        <f t="shared" si="1"/>
        <v xml:space="preserve">B46 </v>
      </c>
      <c r="D128" s="9"/>
      <c r="F128" s="175">
        <f>LEN(Table3[[#This Row],[Sequence]])</f>
        <v>0</v>
      </c>
    </row>
    <row r="129" spans="1:6" x14ac:dyDescent="0.55000000000000004">
      <c r="A129" s="2" t="s">
        <v>170</v>
      </c>
      <c r="C129" s="173" t="str">
        <f t="shared" si="1"/>
        <v xml:space="preserve">B47 </v>
      </c>
      <c r="D129" s="9"/>
      <c r="F129" s="175">
        <f>LEN(Table3[[#This Row],[Sequence]])</f>
        <v>0</v>
      </c>
    </row>
    <row r="130" spans="1:6" x14ac:dyDescent="0.55000000000000004">
      <c r="A130" s="2" t="s">
        <v>171</v>
      </c>
      <c r="C130" s="173" t="str">
        <f t="shared" ref="C130:C193" si="2">CONCATENATE(A130," ",B130)</f>
        <v xml:space="preserve">B48 </v>
      </c>
      <c r="D130" s="9"/>
      <c r="F130" s="175">
        <f>LEN(Table3[[#This Row],[Sequence]])</f>
        <v>0</v>
      </c>
    </row>
    <row r="131" spans="1:6" ht="15" customHeight="1" x14ac:dyDescent="0.55000000000000004">
      <c r="A131" s="2" t="s">
        <v>172</v>
      </c>
      <c r="C131" s="173" t="str">
        <f t="shared" si="2"/>
        <v xml:space="preserve">B49 </v>
      </c>
      <c r="D131" s="9"/>
      <c r="F131" s="175">
        <f>LEN(Table3[[#This Row],[Sequence]])</f>
        <v>0</v>
      </c>
    </row>
    <row r="132" spans="1:6" x14ac:dyDescent="0.55000000000000004">
      <c r="A132" s="2" t="s">
        <v>173</v>
      </c>
      <c r="C132" s="173" t="str">
        <f t="shared" si="2"/>
        <v xml:space="preserve">B50 </v>
      </c>
      <c r="D132" s="9"/>
      <c r="F132" s="175">
        <f>LEN(Table3[[#This Row],[Sequence]])</f>
        <v>0</v>
      </c>
    </row>
    <row r="133" spans="1:6" x14ac:dyDescent="0.55000000000000004">
      <c r="A133" s="2" t="s">
        <v>174</v>
      </c>
      <c r="C133" s="173" t="str">
        <f t="shared" si="2"/>
        <v xml:space="preserve">B51 </v>
      </c>
      <c r="D133" s="9"/>
      <c r="F133" s="175">
        <f>LEN(Table3[[#This Row],[Sequence]])</f>
        <v>0</v>
      </c>
    </row>
    <row r="134" spans="1:6" x14ac:dyDescent="0.55000000000000004">
      <c r="A134" s="2" t="s">
        <v>175</v>
      </c>
      <c r="C134" s="173" t="str">
        <f t="shared" si="2"/>
        <v xml:space="preserve">B52 </v>
      </c>
      <c r="D134" s="9"/>
      <c r="F134" s="175">
        <f>LEN(Table3[[#This Row],[Sequence]])</f>
        <v>0</v>
      </c>
    </row>
    <row r="135" spans="1:6" x14ac:dyDescent="0.55000000000000004">
      <c r="A135" s="2" t="s">
        <v>176</v>
      </c>
      <c r="C135" s="173" t="str">
        <f t="shared" si="2"/>
        <v xml:space="preserve">B53 </v>
      </c>
      <c r="D135" s="9"/>
      <c r="F135" s="175">
        <f>LEN(Table3[[#This Row],[Sequence]])</f>
        <v>0</v>
      </c>
    </row>
    <row r="136" spans="1:6" x14ac:dyDescent="0.55000000000000004">
      <c r="A136" s="2" t="s">
        <v>177</v>
      </c>
      <c r="C136" s="173" t="str">
        <f t="shared" si="2"/>
        <v xml:space="preserve">B54 </v>
      </c>
      <c r="D136" s="9"/>
      <c r="F136" s="175">
        <f>LEN(Table3[[#This Row],[Sequence]])</f>
        <v>0</v>
      </c>
    </row>
    <row r="137" spans="1:6" x14ac:dyDescent="0.55000000000000004">
      <c r="A137" s="2" t="s">
        <v>178</v>
      </c>
      <c r="C137" s="173" t="str">
        <f t="shared" si="2"/>
        <v xml:space="preserve">B55 </v>
      </c>
      <c r="D137" s="9"/>
      <c r="F137" s="175">
        <f>LEN(Table3[[#This Row],[Sequence]])</f>
        <v>0</v>
      </c>
    </row>
    <row r="138" spans="1:6" x14ac:dyDescent="0.55000000000000004">
      <c r="A138" s="2" t="s">
        <v>179</v>
      </c>
      <c r="C138" s="173" t="str">
        <f t="shared" si="2"/>
        <v xml:space="preserve">B56 </v>
      </c>
      <c r="D138" s="9"/>
      <c r="F138" s="175">
        <f>LEN(Table3[[#This Row],[Sequence]])</f>
        <v>0</v>
      </c>
    </row>
    <row r="139" spans="1:6" x14ac:dyDescent="0.55000000000000004">
      <c r="A139" s="2" t="s">
        <v>180</v>
      </c>
      <c r="C139" s="173" t="str">
        <f t="shared" si="2"/>
        <v xml:space="preserve">B57 </v>
      </c>
      <c r="D139" s="9"/>
      <c r="F139" s="175">
        <f>LEN(Table3[[#This Row],[Sequence]])</f>
        <v>0</v>
      </c>
    </row>
    <row r="140" spans="1:6" x14ac:dyDescent="0.55000000000000004">
      <c r="A140" s="2" t="s">
        <v>181</v>
      </c>
      <c r="C140" s="173" t="str">
        <f t="shared" si="2"/>
        <v xml:space="preserve">B58 </v>
      </c>
      <c r="D140" s="9"/>
      <c r="F140" s="175">
        <f>LEN(Table3[[#This Row],[Sequence]])</f>
        <v>0</v>
      </c>
    </row>
    <row r="141" spans="1:6" x14ac:dyDescent="0.55000000000000004">
      <c r="A141" s="2" t="s">
        <v>182</v>
      </c>
      <c r="C141" s="173" t="str">
        <f t="shared" si="2"/>
        <v xml:space="preserve">B59 </v>
      </c>
      <c r="D141" s="9"/>
      <c r="F141" s="175">
        <f>LEN(Table3[[#This Row],[Sequence]])</f>
        <v>0</v>
      </c>
    </row>
    <row r="142" spans="1:6" x14ac:dyDescent="0.55000000000000004">
      <c r="A142" s="2" t="s">
        <v>183</v>
      </c>
      <c r="C142" s="173" t="str">
        <f t="shared" si="2"/>
        <v xml:space="preserve">B60 </v>
      </c>
      <c r="D142" s="9"/>
      <c r="F142" s="175">
        <f>LEN(Table3[[#This Row],[Sequence]])</f>
        <v>0</v>
      </c>
    </row>
    <row r="143" spans="1:6" x14ac:dyDescent="0.55000000000000004">
      <c r="A143" s="2" t="s">
        <v>184</v>
      </c>
      <c r="C143" s="173" t="str">
        <f t="shared" si="2"/>
        <v xml:space="preserve">B61 </v>
      </c>
      <c r="D143" s="9"/>
      <c r="F143" s="175">
        <f>LEN(Table3[[#This Row],[Sequence]])</f>
        <v>0</v>
      </c>
    </row>
    <row r="144" spans="1:6" x14ac:dyDescent="0.55000000000000004">
      <c r="A144" s="2" t="s">
        <v>185</v>
      </c>
      <c r="C144" s="173" t="str">
        <f t="shared" si="2"/>
        <v xml:space="preserve">B62 </v>
      </c>
      <c r="D144" s="9"/>
      <c r="F144" s="175">
        <f>LEN(Table3[[#This Row],[Sequence]])</f>
        <v>0</v>
      </c>
    </row>
    <row r="145" spans="1:12" x14ac:dyDescent="0.55000000000000004">
      <c r="A145" s="2" t="s">
        <v>186</v>
      </c>
      <c r="C145" s="173" t="str">
        <f t="shared" si="2"/>
        <v xml:space="preserve">B63 </v>
      </c>
      <c r="D145" s="9"/>
      <c r="F145" s="175">
        <f>LEN(Table3[[#This Row],[Sequence]])</f>
        <v>0</v>
      </c>
    </row>
    <row r="146" spans="1:12" x14ac:dyDescent="0.55000000000000004">
      <c r="A146" s="2" t="s">
        <v>187</v>
      </c>
      <c r="C146" s="173" t="str">
        <f t="shared" si="2"/>
        <v xml:space="preserve">B64 </v>
      </c>
      <c r="D146" s="9"/>
      <c r="F146" s="175">
        <f>LEN(Table3[[#This Row],[Sequence]])</f>
        <v>0</v>
      </c>
    </row>
    <row r="147" spans="1:12" x14ac:dyDescent="0.55000000000000004">
      <c r="A147" s="2" t="s">
        <v>188</v>
      </c>
      <c r="C147" s="173" t="str">
        <f t="shared" si="2"/>
        <v xml:space="preserve">B65 </v>
      </c>
      <c r="D147" s="9"/>
      <c r="F147" s="175">
        <f>LEN(Table3[[#This Row],[Sequence]])</f>
        <v>0</v>
      </c>
    </row>
    <row r="148" spans="1:12" x14ac:dyDescent="0.55000000000000004">
      <c r="A148" s="2" t="s">
        <v>189</v>
      </c>
      <c r="C148" s="173" t="str">
        <f t="shared" si="2"/>
        <v xml:space="preserve">B66 </v>
      </c>
      <c r="D148" s="9"/>
      <c r="F148" s="175">
        <f>LEN(Table3[[#This Row],[Sequence]])</f>
        <v>0</v>
      </c>
    </row>
    <row r="149" spans="1:12" x14ac:dyDescent="0.55000000000000004">
      <c r="A149" s="2" t="s">
        <v>190</v>
      </c>
      <c r="C149" s="173" t="str">
        <f t="shared" si="2"/>
        <v xml:space="preserve">B67 </v>
      </c>
      <c r="D149" s="9"/>
      <c r="F149" s="175">
        <f>LEN(Table3[[#This Row],[Sequence]])</f>
        <v>0</v>
      </c>
    </row>
    <row r="150" spans="1:12" x14ac:dyDescent="0.55000000000000004">
      <c r="A150" s="2" t="s">
        <v>191</v>
      </c>
      <c r="C150" s="173" t="str">
        <f t="shared" si="2"/>
        <v xml:space="preserve">B68 </v>
      </c>
      <c r="D150" s="9"/>
      <c r="F150" s="175">
        <f>LEN(Table3[[#This Row],[Sequence]])</f>
        <v>0</v>
      </c>
    </row>
    <row r="151" spans="1:12" x14ac:dyDescent="0.55000000000000004">
      <c r="A151" s="2" t="s">
        <v>192</v>
      </c>
      <c r="C151" s="173" t="str">
        <f t="shared" si="2"/>
        <v xml:space="preserve">B69 </v>
      </c>
      <c r="D151" s="9"/>
      <c r="F151" s="175">
        <f>LEN(Table3[[#This Row],[Sequence]])</f>
        <v>0</v>
      </c>
    </row>
    <row r="152" spans="1:12" x14ac:dyDescent="0.55000000000000004">
      <c r="A152" s="2" t="s">
        <v>193</v>
      </c>
      <c r="C152" s="173" t="str">
        <f t="shared" si="2"/>
        <v xml:space="preserve">B70 </v>
      </c>
      <c r="D152" s="9"/>
      <c r="F152" s="175">
        <f>LEN(Table3[[#This Row],[Sequence]])</f>
        <v>0</v>
      </c>
      <c r="L152" s="2"/>
    </row>
    <row r="153" spans="1:12" x14ac:dyDescent="0.55000000000000004">
      <c r="A153" s="2" t="s">
        <v>194</v>
      </c>
      <c r="C153" s="173" t="str">
        <f t="shared" si="2"/>
        <v xml:space="preserve">B71 </v>
      </c>
      <c r="D153" s="9"/>
      <c r="F153" s="175">
        <f>LEN(Table3[[#This Row],[Sequence]])</f>
        <v>0</v>
      </c>
      <c r="L153" s="2"/>
    </row>
    <row r="154" spans="1:12" x14ac:dyDescent="0.55000000000000004">
      <c r="A154" s="2" t="s">
        <v>195</v>
      </c>
      <c r="C154" s="173" t="str">
        <f t="shared" si="2"/>
        <v xml:space="preserve">B72 </v>
      </c>
      <c r="D154" s="9"/>
      <c r="F154" s="175">
        <f>LEN(Table3[[#This Row],[Sequence]])</f>
        <v>0</v>
      </c>
      <c r="L154" s="2"/>
    </row>
    <row r="155" spans="1:12" x14ac:dyDescent="0.55000000000000004">
      <c r="A155" s="2" t="s">
        <v>196</v>
      </c>
      <c r="C155" s="173" t="str">
        <f t="shared" si="2"/>
        <v xml:space="preserve">B73 </v>
      </c>
      <c r="D155" s="9"/>
      <c r="F155" s="175">
        <f>LEN(Table3[[#This Row],[Sequence]])</f>
        <v>0</v>
      </c>
      <c r="L155" s="2"/>
    </row>
    <row r="156" spans="1:12" x14ac:dyDescent="0.55000000000000004">
      <c r="A156" s="2" t="s">
        <v>197</v>
      </c>
      <c r="C156" s="173" t="str">
        <f t="shared" si="2"/>
        <v xml:space="preserve">B74 </v>
      </c>
      <c r="D156" s="9"/>
      <c r="F156" s="175">
        <f>LEN(Table3[[#This Row],[Sequence]])</f>
        <v>0</v>
      </c>
      <c r="L156" s="2"/>
    </row>
    <row r="157" spans="1:12" x14ac:dyDescent="0.55000000000000004">
      <c r="A157" s="2" t="s">
        <v>198</v>
      </c>
      <c r="C157" s="173" t="str">
        <f t="shared" si="2"/>
        <v xml:space="preserve">B75 </v>
      </c>
      <c r="D157" s="9"/>
      <c r="F157" s="175">
        <f>LEN(Table3[[#This Row],[Sequence]])</f>
        <v>0</v>
      </c>
      <c r="L157" s="2"/>
    </row>
    <row r="158" spans="1:12" x14ac:dyDescent="0.55000000000000004">
      <c r="A158" s="2" t="s">
        <v>199</v>
      </c>
      <c r="C158" s="173" t="str">
        <f t="shared" si="2"/>
        <v xml:space="preserve">B76 </v>
      </c>
      <c r="D158" s="9"/>
      <c r="F158" s="175">
        <f>LEN(Table3[[#This Row],[Sequence]])</f>
        <v>0</v>
      </c>
      <c r="L158" s="2"/>
    </row>
    <row r="159" spans="1:12" x14ac:dyDescent="0.55000000000000004">
      <c r="A159" s="2" t="s">
        <v>200</v>
      </c>
      <c r="C159" s="173" t="str">
        <f t="shared" si="2"/>
        <v xml:space="preserve">B77 </v>
      </c>
      <c r="D159" s="9"/>
      <c r="F159" s="175">
        <f>LEN(Table3[[#This Row],[Sequence]])</f>
        <v>0</v>
      </c>
      <c r="L159" s="2"/>
    </row>
    <row r="160" spans="1:12" x14ac:dyDescent="0.55000000000000004">
      <c r="A160" s="2" t="s">
        <v>201</v>
      </c>
      <c r="C160" s="173" t="str">
        <f t="shared" si="2"/>
        <v xml:space="preserve">B78 </v>
      </c>
      <c r="D160" s="9"/>
      <c r="F160" s="175">
        <f>LEN(Table3[[#This Row],[Sequence]])</f>
        <v>0</v>
      </c>
      <c r="L160" s="2"/>
    </row>
    <row r="161" spans="1:12" x14ac:dyDescent="0.55000000000000004">
      <c r="A161" s="2" t="s">
        <v>202</v>
      </c>
      <c r="C161" s="173" t="str">
        <f t="shared" si="2"/>
        <v xml:space="preserve">B79 </v>
      </c>
      <c r="D161" s="9"/>
      <c r="F161" s="175">
        <f>LEN(Table3[[#This Row],[Sequence]])</f>
        <v>0</v>
      </c>
      <c r="L161" s="2"/>
    </row>
    <row r="162" spans="1:12" x14ac:dyDescent="0.55000000000000004">
      <c r="A162" s="2" t="s">
        <v>203</v>
      </c>
      <c r="C162" s="173" t="str">
        <f t="shared" si="2"/>
        <v xml:space="preserve">B80 </v>
      </c>
      <c r="D162" s="9"/>
      <c r="F162" s="175">
        <f>LEN(Table3[[#This Row],[Sequence]])</f>
        <v>0</v>
      </c>
      <c r="L162" s="2"/>
    </row>
    <row r="163" spans="1:12" x14ac:dyDescent="0.55000000000000004">
      <c r="A163" s="2" t="s">
        <v>204</v>
      </c>
      <c r="C163" s="173" t="str">
        <f t="shared" si="2"/>
        <v xml:space="preserve">B81 </v>
      </c>
      <c r="D163" s="9"/>
      <c r="F163" s="175">
        <f>LEN(Table3[[#This Row],[Sequence]])</f>
        <v>0</v>
      </c>
      <c r="L163" s="2"/>
    </row>
    <row r="164" spans="1:12" x14ac:dyDescent="0.55000000000000004">
      <c r="A164" s="2" t="s">
        <v>216</v>
      </c>
      <c r="C164" s="173" t="str">
        <f t="shared" si="2"/>
        <v xml:space="preserve">C01 </v>
      </c>
      <c r="D164" s="9"/>
      <c r="F164" s="175">
        <f>LEN(Table3[[#This Row],[Sequence]])</f>
        <v>0</v>
      </c>
      <c r="L164" s="2"/>
    </row>
    <row r="165" spans="1:12" x14ac:dyDescent="0.55000000000000004">
      <c r="A165" s="2" t="s">
        <v>217</v>
      </c>
      <c r="C165" s="173" t="str">
        <f t="shared" si="2"/>
        <v xml:space="preserve">C02 </v>
      </c>
      <c r="D165" s="9"/>
      <c r="F165" s="175">
        <f>LEN(Table3[[#This Row],[Sequence]])</f>
        <v>0</v>
      </c>
      <c r="L165" s="2"/>
    </row>
    <row r="166" spans="1:12" x14ac:dyDescent="0.55000000000000004">
      <c r="A166" s="2" t="s">
        <v>218</v>
      </c>
      <c r="C166" s="173" t="str">
        <f t="shared" si="2"/>
        <v xml:space="preserve">C03 </v>
      </c>
      <c r="D166" s="9"/>
      <c r="F166" s="175">
        <f>LEN(Table3[[#This Row],[Sequence]])</f>
        <v>0</v>
      </c>
      <c r="L166" s="2"/>
    </row>
    <row r="167" spans="1:12" x14ac:dyDescent="0.55000000000000004">
      <c r="A167" s="2" t="s">
        <v>219</v>
      </c>
      <c r="C167" s="173" t="str">
        <f t="shared" si="2"/>
        <v xml:space="preserve">C04 </v>
      </c>
      <c r="D167" s="9"/>
      <c r="F167" s="175">
        <f>LEN(Table3[[#This Row],[Sequence]])</f>
        <v>0</v>
      </c>
      <c r="L167" s="2"/>
    </row>
    <row r="168" spans="1:12" x14ac:dyDescent="0.55000000000000004">
      <c r="A168" s="2" t="s">
        <v>220</v>
      </c>
      <c r="C168" s="173" t="str">
        <f t="shared" si="2"/>
        <v xml:space="preserve">C05 </v>
      </c>
      <c r="D168" s="9"/>
      <c r="F168" s="175">
        <f>LEN(Table3[[#This Row],[Sequence]])</f>
        <v>0</v>
      </c>
      <c r="L168" s="2"/>
    </row>
    <row r="169" spans="1:12" x14ac:dyDescent="0.55000000000000004">
      <c r="A169" s="2" t="s">
        <v>221</v>
      </c>
      <c r="C169" s="173" t="str">
        <f t="shared" si="2"/>
        <v xml:space="preserve">C06 </v>
      </c>
      <c r="D169" s="9"/>
      <c r="F169" s="175">
        <f>LEN(Table3[[#This Row],[Sequence]])</f>
        <v>0</v>
      </c>
      <c r="L169" s="2"/>
    </row>
    <row r="170" spans="1:12" x14ac:dyDescent="0.55000000000000004">
      <c r="A170" s="2" t="s">
        <v>222</v>
      </c>
      <c r="C170" s="173" t="str">
        <f t="shared" si="2"/>
        <v xml:space="preserve">C07 </v>
      </c>
      <c r="D170" s="9"/>
      <c r="F170" s="175">
        <f>LEN(Table3[[#This Row],[Sequence]])</f>
        <v>0</v>
      </c>
      <c r="L170" s="2"/>
    </row>
    <row r="171" spans="1:12" x14ac:dyDescent="0.55000000000000004">
      <c r="A171" s="2" t="s">
        <v>223</v>
      </c>
      <c r="C171" s="173" t="str">
        <f t="shared" si="2"/>
        <v xml:space="preserve">C08 </v>
      </c>
      <c r="D171" s="9"/>
      <c r="F171" s="175">
        <f>LEN(Table3[[#This Row],[Sequence]])</f>
        <v>0</v>
      </c>
      <c r="L171" s="2"/>
    </row>
    <row r="172" spans="1:12" x14ac:dyDescent="0.55000000000000004">
      <c r="A172" s="2" t="s">
        <v>224</v>
      </c>
      <c r="C172" s="173" t="str">
        <f t="shared" si="2"/>
        <v xml:space="preserve">C09 </v>
      </c>
      <c r="D172" s="9"/>
      <c r="F172" s="175">
        <f>LEN(Table3[[#This Row],[Sequence]])</f>
        <v>0</v>
      </c>
      <c r="L172" s="2"/>
    </row>
    <row r="173" spans="1:12" x14ac:dyDescent="0.55000000000000004">
      <c r="A173" s="2" t="s">
        <v>225</v>
      </c>
      <c r="C173" s="173" t="str">
        <f t="shared" si="2"/>
        <v xml:space="preserve">C10 </v>
      </c>
      <c r="D173" s="9"/>
      <c r="F173" s="175">
        <f>LEN(Table3[[#This Row],[Sequence]])</f>
        <v>0</v>
      </c>
      <c r="L173" s="2"/>
    </row>
    <row r="174" spans="1:12" x14ac:dyDescent="0.55000000000000004">
      <c r="A174" s="2" t="s">
        <v>226</v>
      </c>
      <c r="C174" s="173" t="str">
        <f t="shared" si="2"/>
        <v xml:space="preserve">C11 </v>
      </c>
      <c r="D174" s="9"/>
      <c r="F174" s="175">
        <f>LEN(Table3[[#This Row],[Sequence]])</f>
        <v>0</v>
      </c>
      <c r="L174" s="2"/>
    </row>
    <row r="175" spans="1:12" x14ac:dyDescent="0.55000000000000004">
      <c r="A175" s="2" t="s">
        <v>227</v>
      </c>
      <c r="C175" s="173" t="str">
        <f t="shared" si="2"/>
        <v xml:space="preserve">C12 </v>
      </c>
      <c r="D175" s="9"/>
      <c r="F175" s="175">
        <f>LEN(Table3[[#This Row],[Sequence]])</f>
        <v>0</v>
      </c>
      <c r="L175" s="2"/>
    </row>
    <row r="176" spans="1:12" x14ac:dyDescent="0.55000000000000004">
      <c r="A176" s="2" t="s">
        <v>228</v>
      </c>
      <c r="C176" s="173" t="str">
        <f t="shared" si="2"/>
        <v xml:space="preserve">C13 </v>
      </c>
      <c r="D176" s="9"/>
      <c r="F176" s="175">
        <f>LEN(Table3[[#This Row],[Sequence]])</f>
        <v>0</v>
      </c>
      <c r="L176" s="2"/>
    </row>
    <row r="177" spans="1:18" x14ac:dyDescent="0.55000000000000004">
      <c r="A177" s="2" t="s">
        <v>229</v>
      </c>
      <c r="C177" s="173" t="str">
        <f t="shared" si="2"/>
        <v xml:space="preserve">C14 </v>
      </c>
      <c r="D177" s="9"/>
      <c r="F177" s="175">
        <f>LEN(Table3[[#This Row],[Sequence]])</f>
        <v>0</v>
      </c>
      <c r="L177" s="2"/>
    </row>
    <row r="178" spans="1:18" x14ac:dyDescent="0.55000000000000004">
      <c r="A178" s="2" t="s">
        <v>230</v>
      </c>
      <c r="C178" s="173" t="str">
        <f t="shared" si="2"/>
        <v xml:space="preserve">C15 </v>
      </c>
      <c r="D178" s="14"/>
      <c r="F178" s="175">
        <f>LEN(Table3[[#This Row],[Sequence]])</f>
        <v>0</v>
      </c>
      <c r="L178" s="2"/>
    </row>
    <row r="179" spans="1:18" x14ac:dyDescent="0.55000000000000004">
      <c r="A179" s="2" t="s">
        <v>231</v>
      </c>
      <c r="C179" s="173" t="str">
        <f t="shared" si="2"/>
        <v xml:space="preserve">C16 </v>
      </c>
      <c r="D179" s="9"/>
      <c r="F179" s="175">
        <f>LEN(Table3[[#This Row],[Sequence]])</f>
        <v>0</v>
      </c>
      <c r="L179" s="2"/>
      <c r="R179" s="9"/>
    </row>
    <row r="180" spans="1:18" x14ac:dyDescent="0.55000000000000004">
      <c r="A180" s="2" t="s">
        <v>232</v>
      </c>
      <c r="C180" s="173" t="str">
        <f t="shared" si="2"/>
        <v xml:space="preserve">C17 </v>
      </c>
      <c r="D180" s="14"/>
      <c r="F180" s="175">
        <f>LEN(Table3[[#This Row],[Sequence]])</f>
        <v>0</v>
      </c>
      <c r="L180" s="2"/>
    </row>
    <row r="181" spans="1:18" x14ac:dyDescent="0.55000000000000004">
      <c r="A181" s="2" t="s">
        <v>233</v>
      </c>
      <c r="C181" s="173" t="str">
        <f t="shared" si="2"/>
        <v xml:space="preserve">C18 </v>
      </c>
      <c r="F181" s="175">
        <f>LEN(Table3[[#This Row],[Sequence]])</f>
        <v>0</v>
      </c>
      <c r="L181" s="2"/>
    </row>
    <row r="182" spans="1:18" x14ac:dyDescent="0.55000000000000004">
      <c r="A182" s="2" t="s">
        <v>234</v>
      </c>
      <c r="C182" s="173" t="str">
        <f t="shared" si="2"/>
        <v xml:space="preserve">C19 </v>
      </c>
      <c r="D182" s="16"/>
      <c r="F182" s="175">
        <f>LEN(Table3[[#This Row],[Sequence]])</f>
        <v>0</v>
      </c>
      <c r="L182" s="2"/>
    </row>
    <row r="183" spans="1:18" x14ac:dyDescent="0.55000000000000004">
      <c r="A183" s="2" t="s">
        <v>235</v>
      </c>
      <c r="C183" s="173" t="str">
        <f t="shared" si="2"/>
        <v xml:space="preserve">C20 </v>
      </c>
      <c r="F183" s="175">
        <f>LEN(Table3[[#This Row],[Sequence]])</f>
        <v>0</v>
      </c>
      <c r="L183" s="2"/>
    </row>
    <row r="184" spans="1:18" x14ac:dyDescent="0.55000000000000004">
      <c r="A184" s="2" t="s">
        <v>236</v>
      </c>
      <c r="C184" s="173" t="str">
        <f t="shared" si="2"/>
        <v xml:space="preserve">C21 </v>
      </c>
      <c r="F184" s="175">
        <f>LEN(Table3[[#This Row],[Sequence]])</f>
        <v>0</v>
      </c>
      <c r="L184" s="2"/>
    </row>
    <row r="185" spans="1:18" x14ac:dyDescent="0.55000000000000004">
      <c r="A185" s="2" t="s">
        <v>237</v>
      </c>
      <c r="C185" s="173" t="str">
        <f t="shared" si="2"/>
        <v xml:space="preserve">C22 </v>
      </c>
      <c r="F185" s="175">
        <f>LEN(Table3[[#This Row],[Sequence]])</f>
        <v>0</v>
      </c>
      <c r="L185" s="2"/>
    </row>
    <row r="186" spans="1:18" x14ac:dyDescent="0.55000000000000004">
      <c r="A186" s="2" t="s">
        <v>238</v>
      </c>
      <c r="C186" s="173" t="str">
        <f t="shared" si="2"/>
        <v xml:space="preserve">C23 </v>
      </c>
      <c r="F186" s="175">
        <f>LEN(Table3[[#This Row],[Sequence]])</f>
        <v>0</v>
      </c>
      <c r="L186" s="2"/>
    </row>
    <row r="187" spans="1:18" x14ac:dyDescent="0.55000000000000004">
      <c r="A187" s="2" t="s">
        <v>239</v>
      </c>
      <c r="C187" s="173" t="str">
        <f t="shared" si="2"/>
        <v xml:space="preserve">C24 </v>
      </c>
      <c r="F187" s="175">
        <f>LEN(Table3[[#This Row],[Sequence]])</f>
        <v>0</v>
      </c>
      <c r="L187" s="2"/>
    </row>
    <row r="188" spans="1:18" x14ac:dyDescent="0.55000000000000004">
      <c r="A188" s="2" t="s">
        <v>240</v>
      </c>
      <c r="C188" s="173" t="str">
        <f t="shared" si="2"/>
        <v xml:space="preserve">C25 </v>
      </c>
      <c r="F188" s="175">
        <f>LEN(Table3[[#This Row],[Sequence]])</f>
        <v>0</v>
      </c>
      <c r="L188" s="2"/>
    </row>
    <row r="189" spans="1:18" x14ac:dyDescent="0.55000000000000004">
      <c r="A189" s="2" t="s">
        <v>241</v>
      </c>
      <c r="C189" s="173" t="str">
        <f t="shared" si="2"/>
        <v xml:space="preserve">C26 </v>
      </c>
      <c r="F189" s="175">
        <f>LEN(Table3[[#This Row],[Sequence]])</f>
        <v>0</v>
      </c>
      <c r="L189" s="2"/>
    </row>
    <row r="190" spans="1:18" x14ac:dyDescent="0.55000000000000004">
      <c r="A190" s="2" t="s">
        <v>242</v>
      </c>
      <c r="C190" s="173" t="str">
        <f t="shared" si="2"/>
        <v xml:space="preserve">C27 </v>
      </c>
      <c r="F190" s="175">
        <f>LEN(Table3[[#This Row],[Sequence]])</f>
        <v>0</v>
      </c>
      <c r="L190" s="2"/>
    </row>
    <row r="191" spans="1:18" x14ac:dyDescent="0.55000000000000004">
      <c r="A191" s="2" t="s">
        <v>243</v>
      </c>
      <c r="C191" s="173" t="str">
        <f t="shared" si="2"/>
        <v xml:space="preserve">C28 </v>
      </c>
      <c r="F191" s="175">
        <f>LEN(Table3[[#This Row],[Sequence]])</f>
        <v>0</v>
      </c>
      <c r="L191" s="2"/>
    </row>
    <row r="192" spans="1:18" x14ac:dyDescent="0.55000000000000004">
      <c r="A192" s="2" t="s">
        <v>244</v>
      </c>
      <c r="C192" s="173" t="str">
        <f t="shared" si="2"/>
        <v xml:space="preserve">C29 </v>
      </c>
      <c r="F192" s="175">
        <f>LEN(Table3[[#This Row],[Sequence]])</f>
        <v>0</v>
      </c>
      <c r="L192" s="2"/>
    </row>
    <row r="193" spans="1:12" x14ac:dyDescent="0.55000000000000004">
      <c r="A193" s="2" t="s">
        <v>245</v>
      </c>
      <c r="C193" s="174" t="str">
        <f t="shared" si="2"/>
        <v xml:space="preserve">C30 </v>
      </c>
      <c r="D193" s="9"/>
      <c r="F193" s="175">
        <f>LEN(Table3[[#This Row],[Sequence]])</f>
        <v>0</v>
      </c>
      <c r="L193" s="2"/>
    </row>
    <row r="194" spans="1:12" x14ac:dyDescent="0.55000000000000004">
      <c r="A194" s="2" t="s">
        <v>246</v>
      </c>
      <c r="C194" s="173" t="str">
        <f t="shared" ref="C194:C257" si="3">CONCATENATE(A194," ",B194)</f>
        <v xml:space="preserve">C31 </v>
      </c>
      <c r="D194" s="9"/>
      <c r="F194" s="175">
        <f>LEN(Table3[[#This Row],[Sequence]])</f>
        <v>0</v>
      </c>
      <c r="L194" s="2"/>
    </row>
    <row r="195" spans="1:12" x14ac:dyDescent="0.55000000000000004">
      <c r="A195" s="2" t="s">
        <v>247</v>
      </c>
      <c r="C195" s="173" t="str">
        <f t="shared" si="3"/>
        <v xml:space="preserve">C32 </v>
      </c>
      <c r="D195" s="9"/>
      <c r="F195" s="175">
        <f>LEN(Table3[[#This Row],[Sequence]])</f>
        <v>0</v>
      </c>
      <c r="L195" s="2"/>
    </row>
    <row r="196" spans="1:12" x14ac:dyDescent="0.55000000000000004">
      <c r="A196" s="2" t="s">
        <v>248</v>
      </c>
      <c r="C196" s="173" t="str">
        <f t="shared" si="3"/>
        <v xml:space="preserve">C33 </v>
      </c>
      <c r="D196" s="9"/>
      <c r="F196" s="175">
        <f>LEN(Table3[[#This Row],[Sequence]])</f>
        <v>0</v>
      </c>
      <c r="L196" s="2"/>
    </row>
    <row r="197" spans="1:12" x14ac:dyDescent="0.55000000000000004">
      <c r="A197" s="2" t="s">
        <v>249</v>
      </c>
      <c r="C197" s="173" t="str">
        <f t="shared" si="3"/>
        <v xml:space="preserve">C34 </v>
      </c>
      <c r="D197" s="9"/>
      <c r="F197" s="175">
        <f>LEN(Table3[[#This Row],[Sequence]])</f>
        <v>0</v>
      </c>
      <c r="L197" s="2"/>
    </row>
    <row r="198" spans="1:12" x14ac:dyDescent="0.55000000000000004">
      <c r="A198" s="2" t="s">
        <v>250</v>
      </c>
      <c r="C198" s="173" t="str">
        <f t="shared" si="3"/>
        <v xml:space="preserve">C35 </v>
      </c>
      <c r="D198" s="9"/>
      <c r="F198" s="175">
        <f>LEN(Table3[[#This Row],[Sequence]])</f>
        <v>0</v>
      </c>
    </row>
    <row r="199" spans="1:12" x14ac:dyDescent="0.55000000000000004">
      <c r="A199" s="2" t="s">
        <v>251</v>
      </c>
      <c r="C199" s="173" t="str">
        <f t="shared" si="3"/>
        <v xml:space="preserve">C36 </v>
      </c>
      <c r="D199" s="9"/>
      <c r="F199" s="175">
        <f>LEN(Table3[[#This Row],[Sequence]])</f>
        <v>0</v>
      </c>
    </row>
    <row r="200" spans="1:12" x14ac:dyDescent="0.55000000000000004">
      <c r="A200" s="2" t="s">
        <v>252</v>
      </c>
      <c r="C200" s="173" t="str">
        <f t="shared" si="3"/>
        <v xml:space="preserve">C37 </v>
      </c>
      <c r="D200" s="9"/>
      <c r="F200" s="175">
        <f>LEN(Table3[[#This Row],[Sequence]])</f>
        <v>0</v>
      </c>
    </row>
    <row r="201" spans="1:12" x14ac:dyDescent="0.55000000000000004">
      <c r="A201" s="2" t="s">
        <v>253</v>
      </c>
      <c r="C201" s="173" t="str">
        <f t="shared" si="3"/>
        <v xml:space="preserve">C38 </v>
      </c>
      <c r="D201" s="9"/>
      <c r="F201" s="175">
        <f>LEN(Table3[[#This Row],[Sequence]])</f>
        <v>0</v>
      </c>
    </row>
    <row r="202" spans="1:12" x14ac:dyDescent="0.55000000000000004">
      <c r="A202" s="2" t="s">
        <v>254</v>
      </c>
      <c r="C202" s="173" t="str">
        <f t="shared" si="3"/>
        <v xml:space="preserve">C39 </v>
      </c>
      <c r="D202" s="9"/>
      <c r="F202" s="175">
        <f>LEN(Table3[[#This Row],[Sequence]])</f>
        <v>0</v>
      </c>
    </row>
    <row r="203" spans="1:12" x14ac:dyDescent="0.55000000000000004">
      <c r="A203" s="2" t="s">
        <v>255</v>
      </c>
      <c r="C203" s="173" t="str">
        <f t="shared" si="3"/>
        <v xml:space="preserve">C40 </v>
      </c>
      <c r="D203" s="9"/>
      <c r="F203" s="175">
        <f>LEN(Table3[[#This Row],[Sequence]])</f>
        <v>0</v>
      </c>
    </row>
    <row r="204" spans="1:12" x14ac:dyDescent="0.55000000000000004">
      <c r="A204" s="2" t="s">
        <v>256</v>
      </c>
      <c r="C204" s="173" t="str">
        <f t="shared" si="3"/>
        <v xml:space="preserve">C41 </v>
      </c>
      <c r="D204" s="9"/>
      <c r="F204" s="175">
        <f>LEN(Table3[[#This Row],[Sequence]])</f>
        <v>0</v>
      </c>
    </row>
    <row r="205" spans="1:12" x14ac:dyDescent="0.55000000000000004">
      <c r="A205" s="2" t="s">
        <v>257</v>
      </c>
      <c r="C205" s="173" t="str">
        <f t="shared" si="3"/>
        <v xml:space="preserve">C42 </v>
      </c>
      <c r="D205" s="9"/>
      <c r="F205" s="175">
        <f>LEN(Table3[[#This Row],[Sequence]])</f>
        <v>0</v>
      </c>
    </row>
    <row r="206" spans="1:12" x14ac:dyDescent="0.55000000000000004">
      <c r="A206" s="2" t="s">
        <v>258</v>
      </c>
      <c r="C206" s="173" t="str">
        <f t="shared" si="3"/>
        <v xml:space="preserve">C43 </v>
      </c>
      <c r="D206" s="9"/>
      <c r="F206" s="175">
        <f>LEN(Table3[[#This Row],[Sequence]])</f>
        <v>0</v>
      </c>
    </row>
    <row r="207" spans="1:12" x14ac:dyDescent="0.55000000000000004">
      <c r="A207" s="2" t="s">
        <v>259</v>
      </c>
      <c r="C207" s="173" t="str">
        <f t="shared" si="3"/>
        <v xml:space="preserve">C44 </v>
      </c>
      <c r="D207" s="9"/>
      <c r="F207" s="175">
        <f>LEN(Table3[[#This Row],[Sequence]])</f>
        <v>0</v>
      </c>
    </row>
    <row r="208" spans="1:12" x14ac:dyDescent="0.55000000000000004">
      <c r="A208" s="2" t="s">
        <v>260</v>
      </c>
      <c r="C208" s="173" t="str">
        <f t="shared" si="3"/>
        <v xml:space="preserve">C45 </v>
      </c>
      <c r="D208" s="9"/>
      <c r="F208" s="175">
        <f>LEN(Table3[[#This Row],[Sequence]])</f>
        <v>0</v>
      </c>
    </row>
    <row r="209" spans="1:6" x14ac:dyDescent="0.55000000000000004">
      <c r="A209" s="2" t="s">
        <v>261</v>
      </c>
      <c r="C209" s="173" t="str">
        <f t="shared" si="3"/>
        <v xml:space="preserve">C46 </v>
      </c>
      <c r="D209" s="9"/>
      <c r="F209" s="175">
        <f>LEN(Table3[[#This Row],[Sequence]])</f>
        <v>0</v>
      </c>
    </row>
    <row r="210" spans="1:6" x14ac:dyDescent="0.55000000000000004">
      <c r="A210" s="2" t="s">
        <v>262</v>
      </c>
      <c r="C210" s="173" t="str">
        <f t="shared" si="3"/>
        <v xml:space="preserve">C47 </v>
      </c>
      <c r="D210" s="9"/>
      <c r="F210" s="175">
        <f>LEN(Table3[[#This Row],[Sequence]])</f>
        <v>0</v>
      </c>
    </row>
    <row r="211" spans="1:6" x14ac:dyDescent="0.55000000000000004">
      <c r="A211" s="2" t="s">
        <v>263</v>
      </c>
      <c r="C211" s="173" t="str">
        <f t="shared" si="3"/>
        <v xml:space="preserve">C48 </v>
      </c>
      <c r="D211" s="12"/>
      <c r="F211" s="175">
        <f>LEN(Table3[[#This Row],[Sequence]])</f>
        <v>0</v>
      </c>
    </row>
    <row r="212" spans="1:6" x14ac:dyDescent="0.55000000000000004">
      <c r="A212" s="2" t="s">
        <v>264</v>
      </c>
      <c r="C212" s="173" t="str">
        <f t="shared" si="3"/>
        <v xml:space="preserve">C49 </v>
      </c>
      <c r="D212" s="12"/>
      <c r="F212" s="175">
        <f>LEN(Table3[[#This Row],[Sequence]])</f>
        <v>0</v>
      </c>
    </row>
    <row r="213" spans="1:6" x14ac:dyDescent="0.55000000000000004">
      <c r="A213" s="2" t="s">
        <v>265</v>
      </c>
      <c r="C213" s="173" t="str">
        <f t="shared" si="3"/>
        <v xml:space="preserve">C50 </v>
      </c>
      <c r="D213" s="17"/>
      <c r="F213" s="175">
        <f>LEN(Table3[[#This Row],[Sequence]])</f>
        <v>0</v>
      </c>
    </row>
    <row r="214" spans="1:6" x14ac:dyDescent="0.55000000000000004">
      <c r="A214" s="2" t="s">
        <v>266</v>
      </c>
      <c r="C214" s="173" t="str">
        <f t="shared" si="3"/>
        <v xml:space="preserve">C51 </v>
      </c>
      <c r="D214" s="9"/>
      <c r="F214" s="175">
        <f>LEN(Table3[[#This Row],[Sequence]])</f>
        <v>0</v>
      </c>
    </row>
    <row r="215" spans="1:6" x14ac:dyDescent="0.55000000000000004">
      <c r="A215" s="2" t="s">
        <v>267</v>
      </c>
      <c r="C215" s="173" t="str">
        <f t="shared" si="3"/>
        <v xml:space="preserve">C52 </v>
      </c>
      <c r="D215" s="9"/>
      <c r="F215" s="175">
        <f>LEN(Table3[[#This Row],[Sequence]])</f>
        <v>0</v>
      </c>
    </row>
    <row r="216" spans="1:6" x14ac:dyDescent="0.55000000000000004">
      <c r="A216" s="2" t="s">
        <v>268</v>
      </c>
      <c r="C216" s="173" t="str">
        <f t="shared" si="3"/>
        <v xml:space="preserve">C53 </v>
      </c>
      <c r="D216" s="9"/>
      <c r="F216" s="175">
        <f>LEN(Table3[[#This Row],[Sequence]])</f>
        <v>0</v>
      </c>
    </row>
    <row r="217" spans="1:6" x14ac:dyDescent="0.55000000000000004">
      <c r="A217" s="2" t="s">
        <v>269</v>
      </c>
      <c r="C217" s="173" t="str">
        <f t="shared" si="3"/>
        <v xml:space="preserve">C54 </v>
      </c>
      <c r="D217" s="9"/>
      <c r="F217" s="175">
        <f>LEN(Table3[[#This Row],[Sequence]])</f>
        <v>0</v>
      </c>
    </row>
    <row r="218" spans="1:6" x14ac:dyDescent="0.55000000000000004">
      <c r="A218" s="2" t="s">
        <v>270</v>
      </c>
      <c r="C218" s="173" t="str">
        <f t="shared" si="3"/>
        <v xml:space="preserve">C55 </v>
      </c>
      <c r="D218" s="9"/>
      <c r="F218" s="175">
        <f>LEN(Table3[[#This Row],[Sequence]])</f>
        <v>0</v>
      </c>
    </row>
    <row r="219" spans="1:6" x14ac:dyDescent="0.55000000000000004">
      <c r="A219" s="2" t="s">
        <v>271</v>
      </c>
      <c r="C219" s="173" t="str">
        <f t="shared" si="3"/>
        <v xml:space="preserve">C56 </v>
      </c>
      <c r="D219" s="9"/>
      <c r="F219" s="175">
        <f>LEN(Table3[[#This Row],[Sequence]])</f>
        <v>0</v>
      </c>
    </row>
    <row r="220" spans="1:6" x14ac:dyDescent="0.55000000000000004">
      <c r="A220" s="2" t="s">
        <v>272</v>
      </c>
      <c r="C220" s="173" t="str">
        <f t="shared" si="3"/>
        <v xml:space="preserve">C57 </v>
      </c>
      <c r="D220" s="9"/>
      <c r="F220" s="175">
        <f>LEN(Table3[[#This Row],[Sequence]])</f>
        <v>0</v>
      </c>
    </row>
    <row r="221" spans="1:6" x14ac:dyDescent="0.55000000000000004">
      <c r="A221" s="2" t="s">
        <v>273</v>
      </c>
      <c r="C221" s="173" t="str">
        <f t="shared" si="3"/>
        <v xml:space="preserve">C58 </v>
      </c>
      <c r="D221" s="9"/>
      <c r="F221" s="175">
        <f>LEN(Table3[[#This Row],[Sequence]])</f>
        <v>0</v>
      </c>
    </row>
    <row r="222" spans="1:6" x14ac:dyDescent="0.55000000000000004">
      <c r="A222" s="2" t="s">
        <v>274</v>
      </c>
      <c r="C222" s="173" t="str">
        <f t="shared" si="3"/>
        <v xml:space="preserve">C59 </v>
      </c>
      <c r="D222" s="9"/>
      <c r="F222" s="175">
        <f>LEN(Table3[[#This Row],[Sequence]])</f>
        <v>0</v>
      </c>
    </row>
    <row r="223" spans="1:6" x14ac:dyDescent="0.55000000000000004">
      <c r="A223" s="2" t="s">
        <v>275</v>
      </c>
      <c r="C223" s="173" t="str">
        <f t="shared" si="3"/>
        <v xml:space="preserve">C60 </v>
      </c>
      <c r="D223" s="9"/>
      <c r="F223" s="175">
        <f>LEN(Table3[[#This Row],[Sequence]])</f>
        <v>0</v>
      </c>
    </row>
    <row r="224" spans="1:6" x14ac:dyDescent="0.55000000000000004">
      <c r="A224" s="2" t="s">
        <v>276</v>
      </c>
      <c r="C224" s="173" t="str">
        <f t="shared" si="3"/>
        <v xml:space="preserve">C61 </v>
      </c>
      <c r="D224" s="9"/>
      <c r="F224" s="175">
        <f>LEN(Table3[[#This Row],[Sequence]])</f>
        <v>0</v>
      </c>
    </row>
    <row r="225" spans="1:6" x14ac:dyDescent="0.55000000000000004">
      <c r="A225" s="2" t="s">
        <v>277</v>
      </c>
      <c r="C225" s="173" t="str">
        <f t="shared" si="3"/>
        <v xml:space="preserve">C62 </v>
      </c>
      <c r="D225" s="9"/>
      <c r="F225" s="175">
        <f>LEN(Table3[[#This Row],[Sequence]])</f>
        <v>0</v>
      </c>
    </row>
    <row r="226" spans="1:6" x14ac:dyDescent="0.55000000000000004">
      <c r="A226" s="2" t="s">
        <v>278</v>
      </c>
      <c r="C226" s="173" t="str">
        <f t="shared" si="3"/>
        <v xml:space="preserve">C63 </v>
      </c>
      <c r="D226" s="9"/>
      <c r="F226" s="175">
        <f>LEN(Table3[[#This Row],[Sequence]])</f>
        <v>0</v>
      </c>
    </row>
    <row r="227" spans="1:6" x14ac:dyDescent="0.55000000000000004">
      <c r="A227" s="2" t="s">
        <v>279</v>
      </c>
      <c r="C227" s="173" t="str">
        <f t="shared" si="3"/>
        <v xml:space="preserve">C64 </v>
      </c>
      <c r="D227" s="9"/>
      <c r="F227" s="175">
        <f>LEN(Table3[[#This Row],[Sequence]])</f>
        <v>0</v>
      </c>
    </row>
    <row r="228" spans="1:6" x14ac:dyDescent="0.55000000000000004">
      <c r="A228" s="2" t="s">
        <v>280</v>
      </c>
      <c r="C228" s="173" t="str">
        <f t="shared" si="3"/>
        <v xml:space="preserve">C65 </v>
      </c>
      <c r="D228" s="9"/>
      <c r="F228" s="175">
        <f>LEN(Table3[[#This Row],[Sequence]])</f>
        <v>0</v>
      </c>
    </row>
    <row r="229" spans="1:6" x14ac:dyDescent="0.55000000000000004">
      <c r="A229" s="2" t="s">
        <v>281</v>
      </c>
      <c r="C229" s="173" t="str">
        <f t="shared" si="3"/>
        <v xml:space="preserve">C66 </v>
      </c>
      <c r="D229" s="9"/>
      <c r="F229" s="175">
        <f>LEN(Table3[[#This Row],[Sequence]])</f>
        <v>0</v>
      </c>
    </row>
    <row r="230" spans="1:6" x14ac:dyDescent="0.55000000000000004">
      <c r="A230" s="2" t="s">
        <v>282</v>
      </c>
      <c r="C230" s="173" t="str">
        <f t="shared" si="3"/>
        <v xml:space="preserve">C67 </v>
      </c>
      <c r="D230" s="9"/>
      <c r="F230" s="175">
        <f>LEN(Table3[[#This Row],[Sequence]])</f>
        <v>0</v>
      </c>
    </row>
    <row r="231" spans="1:6" x14ac:dyDescent="0.55000000000000004">
      <c r="A231" s="2" t="s">
        <v>283</v>
      </c>
      <c r="C231" s="173" t="str">
        <f t="shared" si="3"/>
        <v xml:space="preserve">C68 </v>
      </c>
      <c r="D231" s="9"/>
      <c r="F231" s="175">
        <f>LEN(Table3[[#This Row],[Sequence]])</f>
        <v>0</v>
      </c>
    </row>
    <row r="232" spans="1:6" x14ac:dyDescent="0.55000000000000004">
      <c r="A232" s="2" t="s">
        <v>284</v>
      </c>
      <c r="C232" s="173" t="str">
        <f t="shared" si="3"/>
        <v xml:space="preserve">C69 </v>
      </c>
      <c r="D232" s="9"/>
      <c r="F232" s="175">
        <f>LEN(Table3[[#This Row],[Sequence]])</f>
        <v>0</v>
      </c>
    </row>
    <row r="233" spans="1:6" x14ac:dyDescent="0.55000000000000004">
      <c r="A233" s="2" t="s">
        <v>285</v>
      </c>
      <c r="C233" s="173" t="str">
        <f t="shared" si="3"/>
        <v xml:space="preserve">C70 </v>
      </c>
      <c r="D233" s="14"/>
      <c r="F233" s="175">
        <f>LEN(Table3[[#This Row],[Sequence]])</f>
        <v>0</v>
      </c>
    </row>
    <row r="234" spans="1:6" x14ac:dyDescent="0.55000000000000004">
      <c r="A234" s="2" t="s">
        <v>286</v>
      </c>
      <c r="C234" s="173" t="str">
        <f t="shared" si="3"/>
        <v xml:space="preserve">C71 </v>
      </c>
      <c r="D234" s="9"/>
      <c r="F234" s="175">
        <f>LEN(Table3[[#This Row],[Sequence]])</f>
        <v>0</v>
      </c>
    </row>
    <row r="235" spans="1:6" x14ac:dyDescent="0.55000000000000004">
      <c r="A235" s="2" t="s">
        <v>287</v>
      </c>
      <c r="C235" s="173" t="str">
        <f t="shared" si="3"/>
        <v xml:space="preserve">C72 </v>
      </c>
      <c r="D235" s="9"/>
      <c r="F235" s="175">
        <f>LEN(Table3[[#This Row],[Sequence]])</f>
        <v>0</v>
      </c>
    </row>
    <row r="236" spans="1:6" x14ac:dyDescent="0.55000000000000004">
      <c r="A236" s="2" t="s">
        <v>288</v>
      </c>
      <c r="C236" s="173" t="str">
        <f t="shared" si="3"/>
        <v xml:space="preserve">C73 </v>
      </c>
      <c r="D236" s="9"/>
      <c r="F236" s="175">
        <f>LEN(Table3[[#This Row],[Sequence]])</f>
        <v>0</v>
      </c>
    </row>
    <row r="237" spans="1:6" x14ac:dyDescent="0.55000000000000004">
      <c r="A237" s="2" t="s">
        <v>289</v>
      </c>
      <c r="C237" s="173" t="str">
        <f t="shared" si="3"/>
        <v xml:space="preserve">C74 </v>
      </c>
      <c r="D237" s="9"/>
      <c r="F237" s="175">
        <f>LEN(Table3[[#This Row],[Sequence]])</f>
        <v>0</v>
      </c>
    </row>
    <row r="238" spans="1:6" x14ac:dyDescent="0.55000000000000004">
      <c r="A238" s="2" t="s">
        <v>290</v>
      </c>
      <c r="C238" s="173" t="str">
        <f t="shared" si="3"/>
        <v xml:space="preserve">C75 </v>
      </c>
      <c r="D238" s="9"/>
      <c r="F238" s="175">
        <f>LEN(Table3[[#This Row],[Sequence]])</f>
        <v>0</v>
      </c>
    </row>
    <row r="239" spans="1:6" x14ac:dyDescent="0.55000000000000004">
      <c r="A239" s="2" t="s">
        <v>291</v>
      </c>
      <c r="C239" s="173" t="str">
        <f t="shared" si="3"/>
        <v xml:space="preserve">C76 </v>
      </c>
      <c r="D239" s="9"/>
      <c r="F239" s="175">
        <f>LEN(Table3[[#This Row],[Sequence]])</f>
        <v>0</v>
      </c>
    </row>
    <row r="240" spans="1:6" x14ac:dyDescent="0.55000000000000004">
      <c r="A240" s="2" t="s">
        <v>292</v>
      </c>
      <c r="C240" s="173" t="str">
        <f t="shared" si="3"/>
        <v xml:space="preserve">C77 </v>
      </c>
      <c r="D240" s="9"/>
      <c r="F240" s="175">
        <f>LEN(Table3[[#This Row],[Sequence]])</f>
        <v>0</v>
      </c>
    </row>
    <row r="241" spans="1:6" x14ac:dyDescent="0.55000000000000004">
      <c r="A241" s="2" t="s">
        <v>293</v>
      </c>
      <c r="C241" s="173" t="str">
        <f t="shared" si="3"/>
        <v xml:space="preserve">C78 </v>
      </c>
      <c r="D241" s="13"/>
      <c r="F241" s="175">
        <f>LEN(Table3[[#This Row],[Sequence]])</f>
        <v>0</v>
      </c>
    </row>
    <row r="242" spans="1:6" x14ac:dyDescent="0.55000000000000004">
      <c r="A242" s="2" t="s">
        <v>294</v>
      </c>
      <c r="C242" s="173" t="str">
        <f t="shared" si="3"/>
        <v xml:space="preserve">C79 </v>
      </c>
      <c r="D242" s="13"/>
      <c r="F242" s="175">
        <f>LEN(Table3[[#This Row],[Sequence]])</f>
        <v>0</v>
      </c>
    </row>
    <row r="243" spans="1:6" x14ac:dyDescent="0.55000000000000004">
      <c r="A243" s="2" t="s">
        <v>295</v>
      </c>
      <c r="C243" s="173" t="str">
        <f t="shared" si="3"/>
        <v xml:space="preserve">C80 </v>
      </c>
      <c r="D243" s="9"/>
      <c r="F243" s="175">
        <f>LEN(Table3[[#This Row],[Sequence]])</f>
        <v>0</v>
      </c>
    </row>
    <row r="244" spans="1:6" x14ac:dyDescent="0.55000000000000004">
      <c r="A244" s="2" t="s">
        <v>296</v>
      </c>
      <c r="C244" s="173" t="str">
        <f t="shared" si="3"/>
        <v xml:space="preserve">C81 </v>
      </c>
      <c r="D244" s="9"/>
      <c r="F244" s="175">
        <f>LEN(Table3[[#This Row],[Sequence]])</f>
        <v>0</v>
      </c>
    </row>
    <row r="245" spans="1:6" x14ac:dyDescent="0.55000000000000004">
      <c r="A245" s="2" t="s">
        <v>310</v>
      </c>
      <c r="C245" s="173" t="str">
        <f t="shared" si="3"/>
        <v xml:space="preserve">D01 </v>
      </c>
      <c r="D245" s="104"/>
      <c r="F245" s="175">
        <f>LEN(Table3[[#This Row],[Sequence]])</f>
        <v>0</v>
      </c>
    </row>
    <row r="246" spans="1:6" x14ac:dyDescent="0.55000000000000004">
      <c r="A246" s="2" t="s">
        <v>313</v>
      </c>
      <c r="C246" s="173" t="str">
        <f t="shared" si="3"/>
        <v xml:space="preserve">D02 </v>
      </c>
      <c r="D246" s="9"/>
      <c r="F246" s="175">
        <f>LEN(Table3[[#This Row],[Sequence]])</f>
        <v>0</v>
      </c>
    </row>
    <row r="247" spans="1:6" x14ac:dyDescent="0.55000000000000004">
      <c r="A247" s="2" t="s">
        <v>314</v>
      </c>
      <c r="C247" s="173" t="str">
        <f t="shared" si="3"/>
        <v xml:space="preserve">D03 </v>
      </c>
      <c r="D247" s="9"/>
      <c r="F247" s="175">
        <f>LEN(Table3[[#This Row],[Sequence]])</f>
        <v>0</v>
      </c>
    </row>
    <row r="248" spans="1:6" x14ac:dyDescent="0.55000000000000004">
      <c r="A248" s="2" t="s">
        <v>315</v>
      </c>
      <c r="C248" s="173" t="str">
        <f t="shared" si="3"/>
        <v xml:space="preserve">D04 </v>
      </c>
      <c r="D248" s="105"/>
      <c r="F248" s="175">
        <f>LEN(Table3[[#This Row],[Sequence]])</f>
        <v>0</v>
      </c>
    </row>
    <row r="249" spans="1:6" x14ac:dyDescent="0.55000000000000004">
      <c r="A249" s="2" t="s">
        <v>316</v>
      </c>
      <c r="C249" s="173" t="str">
        <f t="shared" si="3"/>
        <v xml:space="preserve">D05 </v>
      </c>
      <c r="D249" s="105"/>
      <c r="F249" s="175">
        <f>LEN(Table3[[#This Row],[Sequence]])</f>
        <v>0</v>
      </c>
    </row>
    <row r="250" spans="1:6" x14ac:dyDescent="0.55000000000000004">
      <c r="A250" s="2" t="s">
        <v>317</v>
      </c>
      <c r="C250" s="173" t="str">
        <f t="shared" si="3"/>
        <v xml:space="preserve">D06 </v>
      </c>
      <c r="D250" s="9"/>
      <c r="F250" s="175">
        <f>LEN(Table3[[#This Row],[Sequence]])</f>
        <v>0</v>
      </c>
    </row>
    <row r="251" spans="1:6" x14ac:dyDescent="0.55000000000000004">
      <c r="A251" s="2" t="s">
        <v>318</v>
      </c>
      <c r="C251" s="173" t="str">
        <f t="shared" si="3"/>
        <v xml:space="preserve">D07 </v>
      </c>
      <c r="D251" s="9"/>
      <c r="F251" s="175">
        <f>LEN(Table3[[#This Row],[Sequence]])</f>
        <v>0</v>
      </c>
    </row>
    <row r="252" spans="1:6" x14ac:dyDescent="0.55000000000000004">
      <c r="A252" s="2" t="s">
        <v>319</v>
      </c>
      <c r="C252" s="173" t="str">
        <f t="shared" si="3"/>
        <v xml:space="preserve">D08 </v>
      </c>
      <c r="D252" s="9"/>
      <c r="F252" s="175">
        <f>LEN(Table3[[#This Row],[Sequence]])</f>
        <v>0</v>
      </c>
    </row>
    <row r="253" spans="1:6" x14ac:dyDescent="0.55000000000000004">
      <c r="A253" s="2" t="s">
        <v>320</v>
      </c>
      <c r="C253" s="173" t="str">
        <f t="shared" si="3"/>
        <v xml:space="preserve">D09 </v>
      </c>
      <c r="D253" s="9"/>
      <c r="F253" s="175">
        <f>LEN(Table3[[#This Row],[Sequence]])</f>
        <v>0</v>
      </c>
    </row>
    <row r="254" spans="1:6" x14ac:dyDescent="0.55000000000000004">
      <c r="A254" s="2" t="s">
        <v>321</v>
      </c>
      <c r="C254" s="173" t="str">
        <f t="shared" si="3"/>
        <v xml:space="preserve">D10 </v>
      </c>
      <c r="D254" s="9"/>
      <c r="F254" s="175">
        <f>LEN(Table3[[#This Row],[Sequence]])</f>
        <v>0</v>
      </c>
    </row>
    <row r="255" spans="1:6" x14ac:dyDescent="0.55000000000000004">
      <c r="A255" s="2" t="s">
        <v>322</v>
      </c>
      <c r="C255" s="173" t="str">
        <f t="shared" si="3"/>
        <v xml:space="preserve">D11 </v>
      </c>
      <c r="D255" s="9"/>
      <c r="F255" s="175">
        <f>LEN(Table3[[#This Row],[Sequence]])</f>
        <v>0</v>
      </c>
    </row>
    <row r="256" spans="1:6" x14ac:dyDescent="0.55000000000000004">
      <c r="A256" s="2" t="s">
        <v>323</v>
      </c>
      <c r="C256" s="173" t="str">
        <f t="shared" si="3"/>
        <v xml:space="preserve">D12 </v>
      </c>
      <c r="D256" s="9"/>
      <c r="F256" s="175">
        <f>LEN(Table3[[#This Row],[Sequence]])</f>
        <v>0</v>
      </c>
    </row>
    <row r="257" spans="1:8" x14ac:dyDescent="0.55000000000000004">
      <c r="A257" s="2" t="s">
        <v>324</v>
      </c>
      <c r="C257" s="173" t="str">
        <f t="shared" si="3"/>
        <v xml:space="preserve">D13 </v>
      </c>
      <c r="D257" s="9"/>
      <c r="F257" s="175">
        <f>LEN(Table3[[#This Row],[Sequence]])</f>
        <v>0</v>
      </c>
    </row>
    <row r="258" spans="1:8" x14ac:dyDescent="0.55000000000000004">
      <c r="A258" s="2" t="s">
        <v>325</v>
      </c>
      <c r="C258" s="173" t="str">
        <f t="shared" ref="C258:C309" si="4">CONCATENATE(A258," ",B258)</f>
        <v xml:space="preserve">D14 </v>
      </c>
      <c r="D258" s="9"/>
      <c r="F258" s="175">
        <f>LEN(Table3[[#This Row],[Sequence]])</f>
        <v>0</v>
      </c>
    </row>
    <row r="259" spans="1:8" x14ac:dyDescent="0.55000000000000004">
      <c r="A259" s="2" t="s">
        <v>326</v>
      </c>
      <c r="C259" s="173" t="str">
        <f t="shared" si="4"/>
        <v xml:space="preserve">D15 </v>
      </c>
      <c r="D259" s="9"/>
      <c r="F259" s="175">
        <f>LEN(Table3[[#This Row],[Sequence]])</f>
        <v>0</v>
      </c>
    </row>
    <row r="260" spans="1:8" x14ac:dyDescent="0.55000000000000004">
      <c r="A260" s="2" t="s">
        <v>327</v>
      </c>
      <c r="C260" s="173" t="str">
        <f t="shared" si="4"/>
        <v xml:space="preserve">D16 </v>
      </c>
      <c r="D260" s="9"/>
      <c r="F260" s="175">
        <f>LEN(Table3[[#This Row],[Sequence]])</f>
        <v>0</v>
      </c>
    </row>
    <row r="261" spans="1:8" x14ac:dyDescent="0.55000000000000004">
      <c r="A261" s="2" t="s">
        <v>328</v>
      </c>
      <c r="C261" s="173" t="str">
        <f t="shared" si="4"/>
        <v xml:space="preserve">D17 </v>
      </c>
      <c r="D261" s="9"/>
      <c r="F261" s="175">
        <f>LEN(Table3[[#This Row],[Sequence]])</f>
        <v>0</v>
      </c>
    </row>
    <row r="262" spans="1:8" x14ac:dyDescent="0.55000000000000004">
      <c r="A262" s="2" t="s">
        <v>329</v>
      </c>
      <c r="C262" s="173" t="str">
        <f t="shared" si="4"/>
        <v xml:space="preserve">D18 </v>
      </c>
      <c r="D262" s="9"/>
      <c r="F262" s="175">
        <f>LEN(Table3[[#This Row],[Sequence]])</f>
        <v>0</v>
      </c>
    </row>
    <row r="263" spans="1:8" x14ac:dyDescent="0.55000000000000004">
      <c r="A263" s="2" t="s">
        <v>330</v>
      </c>
      <c r="C263" s="173" t="str">
        <f t="shared" si="4"/>
        <v xml:space="preserve">D19 </v>
      </c>
      <c r="D263" s="9"/>
      <c r="F263" s="175">
        <f>LEN(Table3[[#This Row],[Sequence]])</f>
        <v>0</v>
      </c>
    </row>
    <row r="264" spans="1:8" x14ac:dyDescent="0.55000000000000004">
      <c r="A264" s="2" t="s">
        <v>331</v>
      </c>
      <c r="C264" s="173" t="str">
        <f t="shared" si="4"/>
        <v xml:space="preserve">D20 </v>
      </c>
      <c r="D264" s="9"/>
      <c r="F264" s="175">
        <f>LEN(Table3[[#This Row],[Sequence]])</f>
        <v>0</v>
      </c>
    </row>
    <row r="265" spans="1:8" x14ac:dyDescent="0.55000000000000004">
      <c r="A265" s="2" t="s">
        <v>332</v>
      </c>
      <c r="C265" s="173" t="str">
        <f t="shared" si="4"/>
        <v xml:space="preserve">D21 </v>
      </c>
      <c r="D265" s="9"/>
      <c r="F265" s="175">
        <f>LEN(Table3[[#This Row],[Sequence]])</f>
        <v>0</v>
      </c>
    </row>
    <row r="266" spans="1:8" x14ac:dyDescent="0.55000000000000004">
      <c r="A266" s="2" t="s">
        <v>333</v>
      </c>
      <c r="C266" s="173" t="str">
        <f t="shared" si="4"/>
        <v xml:space="preserve">D22 </v>
      </c>
      <c r="D266" s="9"/>
      <c r="F266" s="175">
        <f>LEN(Table3[[#This Row],[Sequence]])</f>
        <v>0</v>
      </c>
    </row>
    <row r="267" spans="1:8" x14ac:dyDescent="0.55000000000000004">
      <c r="A267" s="2" t="s">
        <v>334</v>
      </c>
      <c r="C267" s="173" t="str">
        <f t="shared" si="4"/>
        <v xml:space="preserve">D23 </v>
      </c>
      <c r="D267" s="9"/>
      <c r="F267" s="175">
        <f>LEN(Table3[[#This Row],[Sequence]])</f>
        <v>0</v>
      </c>
    </row>
    <row r="268" spans="1:8" x14ac:dyDescent="0.55000000000000004">
      <c r="A268" s="2" t="s">
        <v>335</v>
      </c>
      <c r="C268" s="173" t="str">
        <f t="shared" si="4"/>
        <v xml:space="preserve">D24 </v>
      </c>
      <c r="D268" s="104"/>
      <c r="F268" s="175">
        <f>LEN(Table3[[#This Row],[Sequence]])</f>
        <v>0</v>
      </c>
    </row>
    <row r="269" spans="1:8" x14ac:dyDescent="0.55000000000000004">
      <c r="A269" s="2" t="s">
        <v>336</v>
      </c>
      <c r="C269" s="173" t="str">
        <f t="shared" si="4"/>
        <v xml:space="preserve">D25 </v>
      </c>
      <c r="D269" s="105"/>
      <c r="F269" s="175">
        <f>LEN(Table3[[#This Row],[Sequence]])</f>
        <v>0</v>
      </c>
    </row>
    <row r="270" spans="1:8" x14ac:dyDescent="0.55000000000000004">
      <c r="A270" s="2" t="s">
        <v>337</v>
      </c>
      <c r="C270" s="173" t="str">
        <f t="shared" si="4"/>
        <v xml:space="preserve">D26 </v>
      </c>
      <c r="D270" s="17"/>
      <c r="F270" s="175">
        <f>LEN(Table3[[#This Row],[Sequence]])</f>
        <v>0</v>
      </c>
      <c r="H270" s="9"/>
    </row>
    <row r="271" spans="1:8" x14ac:dyDescent="0.55000000000000004">
      <c r="A271" s="2" t="s">
        <v>338</v>
      </c>
      <c r="C271" s="173" t="str">
        <f t="shared" si="4"/>
        <v xml:space="preserve">D27 </v>
      </c>
      <c r="D271" s="9"/>
      <c r="F271" s="175">
        <f>LEN(Table3[[#This Row],[Sequence]])</f>
        <v>0</v>
      </c>
      <c r="H271" s="9"/>
    </row>
    <row r="272" spans="1:8" x14ac:dyDescent="0.55000000000000004">
      <c r="A272" s="2" t="s">
        <v>339</v>
      </c>
      <c r="C272" s="173" t="str">
        <f t="shared" si="4"/>
        <v xml:space="preserve">D28 </v>
      </c>
      <c r="D272" s="9"/>
      <c r="F272" s="175">
        <f>LEN(Table3[[#This Row],[Sequence]])</f>
        <v>0</v>
      </c>
    </row>
    <row r="273" spans="1:6" x14ac:dyDescent="0.55000000000000004">
      <c r="A273" s="2" t="s">
        <v>340</v>
      </c>
      <c r="C273" s="173" t="str">
        <f t="shared" si="4"/>
        <v xml:space="preserve">D29 </v>
      </c>
      <c r="D273" s="9"/>
      <c r="F273" s="175">
        <f>LEN(Table3[[#This Row],[Sequence]])</f>
        <v>0</v>
      </c>
    </row>
    <row r="274" spans="1:6" x14ac:dyDescent="0.55000000000000004">
      <c r="A274" s="2" t="s">
        <v>341</v>
      </c>
      <c r="C274" s="173" t="str">
        <f t="shared" si="4"/>
        <v xml:space="preserve">D30 </v>
      </c>
      <c r="D274" s="9"/>
      <c r="F274" s="175">
        <f>LEN(Table3[[#This Row],[Sequence]])</f>
        <v>0</v>
      </c>
    </row>
    <row r="275" spans="1:6" x14ac:dyDescent="0.55000000000000004">
      <c r="A275" s="2" t="s">
        <v>342</v>
      </c>
      <c r="C275" s="173" t="str">
        <f t="shared" si="4"/>
        <v xml:space="preserve">D31 </v>
      </c>
      <c r="D275" s="9"/>
      <c r="F275" s="175">
        <f>LEN(Table3[[#This Row],[Sequence]])</f>
        <v>0</v>
      </c>
    </row>
    <row r="276" spans="1:6" x14ac:dyDescent="0.55000000000000004">
      <c r="A276" s="2" t="s">
        <v>343</v>
      </c>
      <c r="C276" s="173" t="str">
        <f t="shared" si="4"/>
        <v xml:space="preserve">D32 </v>
      </c>
      <c r="D276" s="9"/>
      <c r="F276" s="175">
        <f>LEN(Table3[[#This Row],[Sequence]])</f>
        <v>0</v>
      </c>
    </row>
    <row r="277" spans="1:6" x14ac:dyDescent="0.55000000000000004">
      <c r="A277" s="2" t="s">
        <v>344</v>
      </c>
      <c r="C277" s="173" t="str">
        <f t="shared" si="4"/>
        <v xml:space="preserve">D33 </v>
      </c>
      <c r="D277" s="9"/>
      <c r="F277" s="175">
        <f>LEN(Table3[[#This Row],[Sequence]])</f>
        <v>0</v>
      </c>
    </row>
    <row r="278" spans="1:6" x14ac:dyDescent="0.55000000000000004">
      <c r="A278" s="2" t="s">
        <v>345</v>
      </c>
      <c r="C278" s="173" t="str">
        <f t="shared" si="4"/>
        <v xml:space="preserve">D34 </v>
      </c>
      <c r="D278" s="101"/>
      <c r="F278" s="175">
        <f>LEN(Table3[[#This Row],[Sequence]])</f>
        <v>0</v>
      </c>
    </row>
    <row r="279" spans="1:6" x14ac:dyDescent="0.55000000000000004">
      <c r="A279" s="2" t="s">
        <v>346</v>
      </c>
      <c r="C279" s="173" t="str">
        <f t="shared" si="4"/>
        <v xml:space="preserve">D35 </v>
      </c>
      <c r="D279" s="9"/>
      <c r="F279" s="175">
        <f>LEN(Table3[[#This Row],[Sequence]])</f>
        <v>0</v>
      </c>
    </row>
    <row r="280" spans="1:6" x14ac:dyDescent="0.55000000000000004">
      <c r="A280" s="2" t="s">
        <v>347</v>
      </c>
      <c r="C280" s="173" t="str">
        <f t="shared" si="4"/>
        <v xml:space="preserve">D36 </v>
      </c>
      <c r="D280" s="9"/>
      <c r="F280" s="175">
        <f>LEN(Table3[[#This Row],[Sequence]])</f>
        <v>0</v>
      </c>
    </row>
    <row r="281" spans="1:6" x14ac:dyDescent="0.55000000000000004">
      <c r="A281" s="2" t="s">
        <v>348</v>
      </c>
      <c r="C281" s="173" t="str">
        <f t="shared" si="4"/>
        <v xml:space="preserve">D37 </v>
      </c>
      <c r="D281" s="9"/>
      <c r="F281" s="175">
        <f>LEN(Table3[[#This Row],[Sequence]])</f>
        <v>0</v>
      </c>
    </row>
    <row r="282" spans="1:6" x14ac:dyDescent="0.55000000000000004">
      <c r="A282" s="2" t="s">
        <v>349</v>
      </c>
      <c r="C282" s="173" t="str">
        <f t="shared" si="4"/>
        <v xml:space="preserve">D38 </v>
      </c>
      <c r="D282" s="9"/>
      <c r="F282" s="175">
        <f>LEN(Table3[[#This Row],[Sequence]])</f>
        <v>0</v>
      </c>
    </row>
    <row r="283" spans="1:6" x14ac:dyDescent="0.55000000000000004">
      <c r="A283" s="2" t="s">
        <v>350</v>
      </c>
      <c r="C283" s="173" t="str">
        <f t="shared" si="4"/>
        <v xml:space="preserve">D39 </v>
      </c>
      <c r="D283" s="9"/>
      <c r="F283" s="175">
        <f>LEN(Table3[[#This Row],[Sequence]])</f>
        <v>0</v>
      </c>
    </row>
    <row r="284" spans="1:6" x14ac:dyDescent="0.55000000000000004">
      <c r="A284" s="2" t="s">
        <v>351</v>
      </c>
      <c r="C284" s="173" t="str">
        <f t="shared" si="4"/>
        <v xml:space="preserve">D40 </v>
      </c>
      <c r="D284" s="9"/>
      <c r="F284" s="175">
        <f>LEN(Table3[[#This Row],[Sequence]])</f>
        <v>0</v>
      </c>
    </row>
    <row r="285" spans="1:6" x14ac:dyDescent="0.55000000000000004">
      <c r="A285" s="2" t="s">
        <v>352</v>
      </c>
      <c r="C285" s="173" t="str">
        <f t="shared" si="4"/>
        <v xml:space="preserve">D41 </v>
      </c>
      <c r="D285" s="9"/>
      <c r="F285" s="175">
        <f>LEN(Table3[[#This Row],[Sequence]])</f>
        <v>0</v>
      </c>
    </row>
    <row r="286" spans="1:6" x14ac:dyDescent="0.55000000000000004">
      <c r="A286" s="2" t="s">
        <v>353</v>
      </c>
      <c r="C286" s="173" t="str">
        <f t="shared" si="4"/>
        <v xml:space="preserve">D42 </v>
      </c>
      <c r="D286" s="9"/>
      <c r="F286" s="175">
        <f>LEN(Table3[[#This Row],[Sequence]])</f>
        <v>0</v>
      </c>
    </row>
    <row r="287" spans="1:6" x14ac:dyDescent="0.55000000000000004">
      <c r="A287" s="2" t="s">
        <v>354</v>
      </c>
      <c r="C287" s="173" t="str">
        <f t="shared" si="4"/>
        <v xml:space="preserve">D43 </v>
      </c>
      <c r="D287" s="9"/>
      <c r="F287" s="175">
        <f>LEN(Table3[[#This Row],[Sequence]])</f>
        <v>0</v>
      </c>
    </row>
    <row r="288" spans="1:6" x14ac:dyDescent="0.55000000000000004">
      <c r="A288" s="2" t="s">
        <v>355</v>
      </c>
      <c r="C288" s="173" t="str">
        <f t="shared" si="4"/>
        <v xml:space="preserve">D44 </v>
      </c>
      <c r="D288" s="9"/>
      <c r="F288" s="175">
        <f>LEN(Table3[[#This Row],[Sequence]])</f>
        <v>0</v>
      </c>
    </row>
    <row r="289" spans="1:6" x14ac:dyDescent="0.55000000000000004">
      <c r="A289" s="2" t="s">
        <v>356</v>
      </c>
      <c r="C289" s="173" t="str">
        <f t="shared" si="4"/>
        <v xml:space="preserve">D45 </v>
      </c>
      <c r="D289" s="9"/>
      <c r="F289" s="175">
        <f>LEN(Table3[[#This Row],[Sequence]])</f>
        <v>0</v>
      </c>
    </row>
    <row r="290" spans="1:6" x14ac:dyDescent="0.55000000000000004">
      <c r="A290" s="2" t="s">
        <v>357</v>
      </c>
      <c r="C290" s="173" t="str">
        <f t="shared" si="4"/>
        <v xml:space="preserve">D46 </v>
      </c>
      <c r="D290" s="9"/>
      <c r="F290" s="175">
        <f>LEN(Table3[[#This Row],[Sequence]])</f>
        <v>0</v>
      </c>
    </row>
    <row r="291" spans="1:6" x14ac:dyDescent="0.55000000000000004">
      <c r="A291" s="2" t="s">
        <v>358</v>
      </c>
      <c r="C291" s="173" t="str">
        <f t="shared" si="4"/>
        <v xml:space="preserve">D47 </v>
      </c>
      <c r="D291" s="9"/>
      <c r="F291" s="175">
        <f>LEN(Table3[[#This Row],[Sequence]])</f>
        <v>0</v>
      </c>
    </row>
    <row r="292" spans="1:6" x14ac:dyDescent="0.55000000000000004">
      <c r="A292" s="2" t="s">
        <v>359</v>
      </c>
      <c r="C292" s="173" t="str">
        <f t="shared" si="4"/>
        <v xml:space="preserve">D48 </v>
      </c>
      <c r="D292" s="9"/>
      <c r="F292" s="175">
        <f>LEN(Table3[[#This Row],[Sequence]])</f>
        <v>0</v>
      </c>
    </row>
    <row r="293" spans="1:6" x14ac:dyDescent="0.55000000000000004">
      <c r="A293" s="2" t="s">
        <v>360</v>
      </c>
      <c r="C293" s="173" t="str">
        <f t="shared" si="4"/>
        <v xml:space="preserve">D49 </v>
      </c>
      <c r="D293" s="9"/>
      <c r="F293" s="175">
        <f>LEN(Table3[[#This Row],[Sequence]])</f>
        <v>0</v>
      </c>
    </row>
    <row r="294" spans="1:6" x14ac:dyDescent="0.55000000000000004">
      <c r="A294" s="2" t="s">
        <v>361</v>
      </c>
      <c r="C294" s="173" t="str">
        <f t="shared" si="4"/>
        <v xml:space="preserve">D50 </v>
      </c>
      <c r="D294" s="9"/>
      <c r="F294" s="175">
        <f>LEN(Table3[[#This Row],[Sequence]])</f>
        <v>0</v>
      </c>
    </row>
    <row r="295" spans="1:6" x14ac:dyDescent="0.55000000000000004">
      <c r="A295" s="2" t="s">
        <v>362</v>
      </c>
      <c r="C295" s="173" t="str">
        <f t="shared" si="4"/>
        <v xml:space="preserve">D51 </v>
      </c>
      <c r="D295" s="9"/>
      <c r="F295" s="175">
        <f>LEN(Table3[[#This Row],[Sequence]])</f>
        <v>0</v>
      </c>
    </row>
    <row r="296" spans="1:6" x14ac:dyDescent="0.55000000000000004">
      <c r="A296" s="2" t="s">
        <v>363</v>
      </c>
      <c r="C296" s="173" t="str">
        <f t="shared" si="4"/>
        <v xml:space="preserve">D52 </v>
      </c>
      <c r="D296" s="9"/>
      <c r="F296" s="175">
        <f>LEN(Table3[[#This Row],[Sequence]])</f>
        <v>0</v>
      </c>
    </row>
    <row r="297" spans="1:6" x14ac:dyDescent="0.55000000000000004">
      <c r="A297" s="2" t="s">
        <v>364</v>
      </c>
      <c r="C297" s="173" t="str">
        <f t="shared" si="4"/>
        <v xml:space="preserve">D53 </v>
      </c>
      <c r="D297" s="9"/>
      <c r="F297" s="175">
        <f>LEN(Table3[[#This Row],[Sequence]])</f>
        <v>0</v>
      </c>
    </row>
    <row r="298" spans="1:6" x14ac:dyDescent="0.55000000000000004">
      <c r="A298" s="2" t="s">
        <v>365</v>
      </c>
      <c r="C298" s="173" t="str">
        <f t="shared" si="4"/>
        <v xml:space="preserve">D54 </v>
      </c>
      <c r="D298" s="9"/>
      <c r="F298" s="175">
        <f>LEN(Table3[[#This Row],[Sequence]])</f>
        <v>0</v>
      </c>
    </row>
    <row r="299" spans="1:6" x14ac:dyDescent="0.55000000000000004">
      <c r="A299" s="2" t="s">
        <v>366</v>
      </c>
      <c r="C299" s="173" t="str">
        <f t="shared" si="4"/>
        <v xml:space="preserve">D55 </v>
      </c>
      <c r="D299" s="9"/>
      <c r="F299" s="175">
        <f>LEN(Table3[[#This Row],[Sequence]])</f>
        <v>0</v>
      </c>
    </row>
    <row r="300" spans="1:6" x14ac:dyDescent="0.55000000000000004">
      <c r="A300" s="2" t="s">
        <v>367</v>
      </c>
      <c r="C300" s="173" t="str">
        <f t="shared" si="4"/>
        <v xml:space="preserve">D56 </v>
      </c>
      <c r="D300" s="9"/>
      <c r="F300" s="175">
        <f>LEN(Table3[[#This Row],[Sequence]])</f>
        <v>0</v>
      </c>
    </row>
    <row r="301" spans="1:6" x14ac:dyDescent="0.55000000000000004">
      <c r="A301" s="2" t="s">
        <v>368</v>
      </c>
      <c r="C301" s="173" t="str">
        <f t="shared" si="4"/>
        <v xml:space="preserve">D57 </v>
      </c>
      <c r="D301" s="9"/>
      <c r="F301" s="175">
        <f>LEN(Table3[[#This Row],[Sequence]])</f>
        <v>0</v>
      </c>
    </row>
    <row r="302" spans="1:6" x14ac:dyDescent="0.55000000000000004">
      <c r="A302" s="2" t="s">
        <v>369</v>
      </c>
      <c r="C302" s="173" t="str">
        <f t="shared" si="4"/>
        <v xml:space="preserve">D58 </v>
      </c>
      <c r="D302" s="9"/>
      <c r="F302" s="175">
        <f>LEN(Table3[[#This Row],[Sequence]])</f>
        <v>0</v>
      </c>
    </row>
    <row r="303" spans="1:6" x14ac:dyDescent="0.55000000000000004">
      <c r="A303" s="2" t="s">
        <v>370</v>
      </c>
      <c r="C303" s="173" t="str">
        <f t="shared" si="4"/>
        <v xml:space="preserve">D59 </v>
      </c>
      <c r="D303" s="9"/>
      <c r="F303" s="175">
        <f>LEN(Table3[[#This Row],[Sequence]])</f>
        <v>0</v>
      </c>
    </row>
    <row r="304" spans="1:6" x14ac:dyDescent="0.55000000000000004">
      <c r="A304" s="2" t="s">
        <v>371</v>
      </c>
      <c r="C304" s="173" t="str">
        <f t="shared" si="4"/>
        <v xml:space="preserve">D60 </v>
      </c>
      <c r="D304" s="9"/>
      <c r="F304" s="175">
        <f>LEN(Table3[[#This Row],[Sequence]])</f>
        <v>0</v>
      </c>
    </row>
    <row r="305" spans="1:6" x14ac:dyDescent="0.55000000000000004">
      <c r="A305" s="2" t="s">
        <v>372</v>
      </c>
      <c r="C305" s="173" t="str">
        <f t="shared" si="4"/>
        <v xml:space="preserve">D61 </v>
      </c>
      <c r="D305" s="9"/>
      <c r="F305" s="175">
        <f>LEN(Table3[[#This Row],[Sequence]])</f>
        <v>0</v>
      </c>
    </row>
    <row r="306" spans="1:6" x14ac:dyDescent="0.55000000000000004">
      <c r="A306" s="2" t="s">
        <v>373</v>
      </c>
      <c r="C306" s="173" t="str">
        <f t="shared" si="4"/>
        <v xml:space="preserve">D62 </v>
      </c>
      <c r="D306" s="9"/>
      <c r="F306" s="175">
        <f>LEN(Table3[[#This Row],[Sequence]])</f>
        <v>0</v>
      </c>
    </row>
    <row r="307" spans="1:6" x14ac:dyDescent="0.55000000000000004">
      <c r="A307" s="2" t="s">
        <v>374</v>
      </c>
      <c r="C307" s="173" t="str">
        <f t="shared" si="4"/>
        <v xml:space="preserve">D63 </v>
      </c>
      <c r="D307" s="9"/>
      <c r="F307" s="175">
        <f>LEN(Table3[[#This Row],[Sequence]])</f>
        <v>0</v>
      </c>
    </row>
    <row r="308" spans="1:6" x14ac:dyDescent="0.55000000000000004">
      <c r="A308" s="2" t="s">
        <v>375</v>
      </c>
      <c r="C308" s="173" t="str">
        <f t="shared" si="4"/>
        <v xml:space="preserve">D64 </v>
      </c>
      <c r="D308" s="9"/>
      <c r="F308" s="175">
        <f>LEN(Table3[[#This Row],[Sequence]])</f>
        <v>0</v>
      </c>
    </row>
    <row r="309" spans="1:6" x14ac:dyDescent="0.55000000000000004">
      <c r="A309" s="2" t="s">
        <v>376</v>
      </c>
      <c r="C309" s="173" t="str">
        <f t="shared" si="4"/>
        <v xml:space="preserve">D65 </v>
      </c>
      <c r="D309" s="9"/>
      <c r="F309" s="175">
        <f>LEN(Table3[[#This Row],[Sequence]])</f>
        <v>0</v>
      </c>
    </row>
    <row r="310" spans="1:6" x14ac:dyDescent="0.55000000000000004">
      <c r="A310" s="2" t="s">
        <v>379</v>
      </c>
      <c r="C310" s="173" t="str">
        <f t="shared" ref="C310:C315" si="5">CONCATENATE(A310," ",B310)</f>
        <v xml:space="preserve">D66 </v>
      </c>
      <c r="D310" s="9"/>
      <c r="F310" s="175">
        <f>LEN(Table3[[#This Row],[Sequence]])</f>
        <v>0</v>
      </c>
    </row>
    <row r="311" spans="1:6" x14ac:dyDescent="0.55000000000000004">
      <c r="A311" s="2" t="s">
        <v>380</v>
      </c>
      <c r="C311" s="173" t="str">
        <f t="shared" si="5"/>
        <v xml:space="preserve">D67 </v>
      </c>
      <c r="D311" s="9"/>
      <c r="F311" s="175">
        <f>LEN(Table3[[#This Row],[Sequence]])</f>
        <v>0</v>
      </c>
    </row>
    <row r="312" spans="1:6" x14ac:dyDescent="0.55000000000000004">
      <c r="A312" s="2" t="s">
        <v>381</v>
      </c>
      <c r="C312" s="173" t="str">
        <f t="shared" si="5"/>
        <v xml:space="preserve">D68 </v>
      </c>
      <c r="D312" s="9"/>
      <c r="F312" s="175">
        <f>LEN(Table3[[#This Row],[Sequence]])</f>
        <v>0</v>
      </c>
    </row>
    <row r="313" spans="1:6" x14ac:dyDescent="0.55000000000000004">
      <c r="A313" s="2" t="s">
        <v>382</v>
      </c>
      <c r="C313" s="173" t="str">
        <f t="shared" si="5"/>
        <v xml:space="preserve">D69 </v>
      </c>
      <c r="D313" s="9"/>
      <c r="F313" s="175">
        <f>LEN(Table3[[#This Row],[Sequence]])</f>
        <v>0</v>
      </c>
    </row>
    <row r="314" spans="1:6" x14ac:dyDescent="0.55000000000000004">
      <c r="A314" s="2" t="s">
        <v>383</v>
      </c>
      <c r="C314" s="173" t="str">
        <f t="shared" si="5"/>
        <v xml:space="preserve">D70 </v>
      </c>
      <c r="D314" s="9"/>
      <c r="F314" s="175">
        <f>LEN(Table3[[#This Row],[Sequence]])</f>
        <v>0</v>
      </c>
    </row>
    <row r="315" spans="1:6" x14ac:dyDescent="0.55000000000000004">
      <c r="A315" s="2" t="s">
        <v>384</v>
      </c>
      <c r="C315" s="173" t="str">
        <f t="shared" si="5"/>
        <v xml:space="preserve">D71 </v>
      </c>
      <c r="D315" s="9"/>
      <c r="F315" s="175">
        <f>LEN(Table3[[#This Row],[Sequence]])</f>
        <v>0</v>
      </c>
    </row>
    <row r="316" spans="1:6" x14ac:dyDescent="0.55000000000000004">
      <c r="A316" s="2" t="s">
        <v>385</v>
      </c>
      <c r="C316" s="173" t="str">
        <f t="shared" ref="C316:C321" si="6">CONCATENATE(A316," ",B316)</f>
        <v xml:space="preserve">D72 </v>
      </c>
      <c r="D316" s="9"/>
      <c r="F316" s="175">
        <f>LEN(Table3[[#This Row],[Sequence]])</f>
        <v>0</v>
      </c>
    </row>
    <row r="317" spans="1:6" x14ac:dyDescent="0.55000000000000004">
      <c r="A317" s="2" t="s">
        <v>386</v>
      </c>
      <c r="C317" s="173" t="str">
        <f t="shared" si="6"/>
        <v xml:space="preserve">D73 </v>
      </c>
      <c r="D317" s="9"/>
      <c r="F317" s="175">
        <f>LEN(Table3[[#This Row],[Sequence]])</f>
        <v>0</v>
      </c>
    </row>
    <row r="318" spans="1:6" x14ac:dyDescent="0.55000000000000004">
      <c r="A318" s="2" t="s">
        <v>387</v>
      </c>
      <c r="C318" s="173" t="str">
        <f t="shared" si="6"/>
        <v xml:space="preserve">D74 </v>
      </c>
      <c r="D318" s="9"/>
      <c r="F318" s="175">
        <f>LEN(Table3[[#This Row],[Sequence]])</f>
        <v>0</v>
      </c>
    </row>
    <row r="319" spans="1:6" x14ac:dyDescent="0.55000000000000004">
      <c r="A319" s="2" t="s">
        <v>388</v>
      </c>
      <c r="C319" s="173" t="str">
        <f t="shared" si="6"/>
        <v xml:space="preserve">D75 </v>
      </c>
      <c r="D319" s="9"/>
      <c r="F319" s="175">
        <f>LEN(Table3[[#This Row],[Sequence]])</f>
        <v>0</v>
      </c>
    </row>
    <row r="320" spans="1:6" x14ac:dyDescent="0.55000000000000004">
      <c r="A320" s="2" t="s">
        <v>389</v>
      </c>
      <c r="C320" s="173" t="str">
        <f t="shared" si="6"/>
        <v xml:space="preserve">D76 </v>
      </c>
      <c r="D320" s="9"/>
      <c r="F320" s="175">
        <f>LEN(Table3[[#This Row],[Sequence]])</f>
        <v>0</v>
      </c>
    </row>
    <row r="321" spans="1:6" x14ac:dyDescent="0.55000000000000004">
      <c r="A321" s="2" t="s">
        <v>390</v>
      </c>
      <c r="C321" s="173" t="str">
        <f t="shared" si="6"/>
        <v xml:space="preserve">D77 </v>
      </c>
      <c r="D321" s="9"/>
      <c r="F321" s="175">
        <f>LEN(Table3[[#This Row],[Sequence]])</f>
        <v>0</v>
      </c>
    </row>
    <row r="322" spans="1:6" x14ac:dyDescent="0.55000000000000004">
      <c r="A322" s="2" t="s">
        <v>391</v>
      </c>
      <c r="C322" s="173" t="str">
        <f t="shared" ref="C322:C327" si="7">CONCATENATE(A322," ",B322)</f>
        <v xml:space="preserve">D78 </v>
      </c>
      <c r="D322" s="9"/>
      <c r="F322" s="175">
        <f>LEN(Table3[[#This Row],[Sequence]])</f>
        <v>0</v>
      </c>
    </row>
    <row r="323" spans="1:6" x14ac:dyDescent="0.55000000000000004">
      <c r="A323" s="2" t="s">
        <v>392</v>
      </c>
      <c r="C323" s="173" t="str">
        <f t="shared" si="7"/>
        <v xml:space="preserve">D79 </v>
      </c>
      <c r="D323" s="9"/>
      <c r="F323" s="175">
        <f>LEN(Table3[[#This Row],[Sequence]])</f>
        <v>0</v>
      </c>
    </row>
    <row r="324" spans="1:6" x14ac:dyDescent="0.55000000000000004">
      <c r="A324" s="2" t="s">
        <v>393</v>
      </c>
      <c r="C324" s="173" t="str">
        <f t="shared" si="7"/>
        <v xml:space="preserve">D80 </v>
      </c>
      <c r="D324" s="9"/>
      <c r="F324" s="175">
        <f>LEN(Table3[[#This Row],[Sequence]])</f>
        <v>0</v>
      </c>
    </row>
    <row r="325" spans="1:6" x14ac:dyDescent="0.55000000000000004">
      <c r="A325" s="2" t="s">
        <v>394</v>
      </c>
      <c r="B325" s="2"/>
      <c r="C325" s="173" t="str">
        <f t="shared" si="7"/>
        <v xml:space="preserve">D81 </v>
      </c>
      <c r="D325" s="9"/>
      <c r="F325" s="175">
        <f>LEN(Table3[[#This Row],[Sequence]])</f>
        <v>0</v>
      </c>
    </row>
    <row r="326" spans="1:6" x14ac:dyDescent="0.55000000000000004">
      <c r="A326" s="2" t="s">
        <v>397</v>
      </c>
      <c r="B326" s="2"/>
      <c r="C326" s="173" t="str">
        <f t="shared" si="7"/>
        <v xml:space="preserve">E01 </v>
      </c>
      <c r="F326" s="175">
        <f>LEN(Table3[[#This Row],[Sequence]])</f>
        <v>0</v>
      </c>
    </row>
    <row r="327" spans="1:6" x14ac:dyDescent="0.55000000000000004">
      <c r="A327" s="2" t="s">
        <v>398</v>
      </c>
      <c r="B327" s="2"/>
      <c r="C327" s="173" t="str">
        <f t="shared" si="7"/>
        <v xml:space="preserve">E02 </v>
      </c>
      <c r="F327" s="175">
        <f>LEN(Table3[[#This Row],[Sequence]])</f>
        <v>0</v>
      </c>
    </row>
    <row r="328" spans="1:6" x14ac:dyDescent="0.55000000000000004">
      <c r="A328" s="2" t="s">
        <v>399</v>
      </c>
      <c r="B328" s="2"/>
      <c r="C328" s="173" t="str">
        <f t="shared" ref="C328:C359" si="8">CONCATENATE(A328," ",B328)</f>
        <v xml:space="preserve">E03 </v>
      </c>
      <c r="F328" s="175">
        <f>LEN(Table3[[#This Row],[Sequence]])</f>
        <v>0</v>
      </c>
    </row>
    <row r="329" spans="1:6" x14ac:dyDescent="0.55000000000000004">
      <c r="A329" s="2" t="s">
        <v>400</v>
      </c>
      <c r="B329" s="2"/>
      <c r="C329" s="173" t="str">
        <f t="shared" si="8"/>
        <v xml:space="preserve">E04 </v>
      </c>
      <c r="F329" s="175">
        <f>LEN(Table3[[#This Row],[Sequence]])</f>
        <v>0</v>
      </c>
    </row>
    <row r="330" spans="1:6" x14ac:dyDescent="0.55000000000000004">
      <c r="A330" s="2" t="s">
        <v>401</v>
      </c>
      <c r="B330" s="2"/>
      <c r="C330" s="173" t="str">
        <f t="shared" si="8"/>
        <v xml:space="preserve">E05 </v>
      </c>
      <c r="F330" s="175">
        <f>LEN(Table3[[#This Row],[Sequence]])</f>
        <v>0</v>
      </c>
    </row>
    <row r="331" spans="1:6" x14ac:dyDescent="0.55000000000000004">
      <c r="A331" s="2" t="s">
        <v>402</v>
      </c>
      <c r="B331" s="2"/>
      <c r="C331" s="173" t="str">
        <f t="shared" si="8"/>
        <v xml:space="preserve">E06 </v>
      </c>
      <c r="F331" s="175">
        <f>LEN(Table3[[#This Row],[Sequence]])</f>
        <v>0</v>
      </c>
    </row>
    <row r="332" spans="1:6" x14ac:dyDescent="0.55000000000000004">
      <c r="A332" s="2" t="s">
        <v>403</v>
      </c>
      <c r="B332" s="2"/>
      <c r="C332" s="173" t="str">
        <f t="shared" si="8"/>
        <v xml:space="preserve">E07 </v>
      </c>
      <c r="F332" s="175">
        <f>LEN(Table3[[#This Row],[Sequence]])</f>
        <v>0</v>
      </c>
    </row>
    <row r="333" spans="1:6" x14ac:dyDescent="0.55000000000000004">
      <c r="A333" s="2" t="s">
        <v>404</v>
      </c>
      <c r="B333" s="2"/>
      <c r="C333" s="173" t="str">
        <f t="shared" si="8"/>
        <v xml:space="preserve">E08 </v>
      </c>
      <c r="F333" s="175">
        <f>LEN(Table3[[#This Row],[Sequence]])</f>
        <v>0</v>
      </c>
    </row>
    <row r="334" spans="1:6" x14ac:dyDescent="0.55000000000000004">
      <c r="A334" s="2" t="s">
        <v>405</v>
      </c>
      <c r="B334" s="2"/>
      <c r="C334" s="173" t="str">
        <f t="shared" si="8"/>
        <v xml:space="preserve">E09 </v>
      </c>
      <c r="F334" s="175">
        <f>LEN(Table3[[#This Row],[Sequence]])</f>
        <v>0</v>
      </c>
    </row>
    <row r="335" spans="1:6" x14ac:dyDescent="0.55000000000000004">
      <c r="A335" s="2" t="s">
        <v>406</v>
      </c>
      <c r="B335" s="2"/>
      <c r="C335" s="173" t="str">
        <f t="shared" si="8"/>
        <v xml:space="preserve">E10 </v>
      </c>
      <c r="F335" s="175">
        <f>LEN(Table3[[#This Row],[Sequence]])</f>
        <v>0</v>
      </c>
    </row>
    <row r="336" spans="1:6" x14ac:dyDescent="0.55000000000000004">
      <c r="A336" s="2" t="s">
        <v>407</v>
      </c>
      <c r="B336" s="2"/>
      <c r="C336" s="173" t="str">
        <f t="shared" si="8"/>
        <v xml:space="preserve">E11 </v>
      </c>
      <c r="F336" s="175">
        <f>LEN(Table3[[#This Row],[Sequence]])</f>
        <v>0</v>
      </c>
    </row>
    <row r="337" spans="1:6" x14ac:dyDescent="0.55000000000000004">
      <c r="A337" s="2" t="s">
        <v>408</v>
      </c>
      <c r="B337" s="2"/>
      <c r="C337" s="173" t="str">
        <f t="shared" si="8"/>
        <v xml:space="preserve">E12 </v>
      </c>
      <c r="F337" s="175">
        <f>LEN(Table3[[#This Row],[Sequence]])</f>
        <v>0</v>
      </c>
    </row>
    <row r="338" spans="1:6" x14ac:dyDescent="0.55000000000000004">
      <c r="A338" s="2" t="s">
        <v>409</v>
      </c>
      <c r="B338" s="2"/>
      <c r="C338" s="173" t="str">
        <f t="shared" si="8"/>
        <v xml:space="preserve">E13 </v>
      </c>
      <c r="F338" s="175">
        <f>LEN(Table3[[#This Row],[Sequence]])</f>
        <v>0</v>
      </c>
    </row>
    <row r="339" spans="1:6" x14ac:dyDescent="0.55000000000000004">
      <c r="A339" s="2" t="s">
        <v>410</v>
      </c>
      <c r="B339" s="2"/>
      <c r="C339" s="173" t="str">
        <f t="shared" si="8"/>
        <v xml:space="preserve">E14 </v>
      </c>
      <c r="F339" s="175">
        <f>LEN(Table3[[#This Row],[Sequence]])</f>
        <v>0</v>
      </c>
    </row>
    <row r="340" spans="1:6" x14ac:dyDescent="0.55000000000000004">
      <c r="A340" s="2" t="s">
        <v>411</v>
      </c>
      <c r="B340" s="2"/>
      <c r="C340" s="173" t="str">
        <f t="shared" si="8"/>
        <v xml:space="preserve">E15 </v>
      </c>
      <c r="D340" s="9"/>
      <c r="F340" s="175">
        <f>LEN(Table3[[#This Row],[Sequence]])</f>
        <v>0</v>
      </c>
    </row>
    <row r="341" spans="1:6" x14ac:dyDescent="0.55000000000000004">
      <c r="A341" s="2" t="s">
        <v>412</v>
      </c>
      <c r="B341" s="2"/>
      <c r="C341" s="173" t="str">
        <f t="shared" si="8"/>
        <v xml:space="preserve">E16 </v>
      </c>
      <c r="D341" s="9"/>
      <c r="F341" s="175">
        <f>LEN(Table3[[#This Row],[Sequence]])</f>
        <v>0</v>
      </c>
    </row>
    <row r="342" spans="1:6" x14ac:dyDescent="0.55000000000000004">
      <c r="A342" s="2" t="s">
        <v>413</v>
      </c>
      <c r="B342" s="2"/>
      <c r="C342" s="173" t="str">
        <f t="shared" si="8"/>
        <v xml:space="preserve">E17 </v>
      </c>
      <c r="D342" s="9"/>
      <c r="F342" s="175">
        <f>LEN(Table3[[#This Row],[Sequence]])</f>
        <v>0</v>
      </c>
    </row>
    <row r="343" spans="1:6" x14ac:dyDescent="0.55000000000000004">
      <c r="A343" s="2" t="s">
        <v>414</v>
      </c>
      <c r="B343" s="2"/>
      <c r="C343" s="173" t="str">
        <f t="shared" si="8"/>
        <v xml:space="preserve">E18 </v>
      </c>
      <c r="D343" s="9"/>
      <c r="F343" s="175">
        <f>LEN(Table3[[#This Row],[Sequence]])</f>
        <v>0</v>
      </c>
    </row>
    <row r="344" spans="1:6" x14ac:dyDescent="0.55000000000000004">
      <c r="A344" s="2" t="s">
        <v>415</v>
      </c>
      <c r="B344" s="2"/>
      <c r="C344" s="173" t="str">
        <f t="shared" si="8"/>
        <v xml:space="preserve">E19 </v>
      </c>
      <c r="D344" s="9"/>
      <c r="F344" s="175">
        <f>LEN(Table3[[#This Row],[Sequence]])</f>
        <v>0</v>
      </c>
    </row>
    <row r="345" spans="1:6" x14ac:dyDescent="0.55000000000000004">
      <c r="A345" s="2" t="s">
        <v>416</v>
      </c>
      <c r="B345" s="2"/>
      <c r="C345" s="173" t="str">
        <f t="shared" si="8"/>
        <v xml:space="preserve">E20 </v>
      </c>
      <c r="D345" s="9"/>
      <c r="F345" s="175">
        <f>LEN(Table3[[#This Row],[Sequence]])</f>
        <v>0</v>
      </c>
    </row>
    <row r="346" spans="1:6" x14ac:dyDescent="0.55000000000000004">
      <c r="A346" s="2" t="s">
        <v>417</v>
      </c>
      <c r="C346" s="173" t="str">
        <f t="shared" si="8"/>
        <v xml:space="preserve">E21 </v>
      </c>
      <c r="D346" s="9"/>
      <c r="F346" s="175">
        <f>LEN(Table3[[#This Row],[Sequence]])</f>
        <v>0</v>
      </c>
    </row>
    <row r="347" spans="1:6" x14ac:dyDescent="0.55000000000000004">
      <c r="A347" s="2" t="s">
        <v>418</v>
      </c>
      <c r="C347" s="173" t="str">
        <f t="shared" si="8"/>
        <v xml:space="preserve">E22 </v>
      </c>
      <c r="D347" s="9"/>
      <c r="F347" s="175">
        <f>LEN(Table3[[#This Row],[Sequence]])</f>
        <v>0</v>
      </c>
    </row>
    <row r="348" spans="1:6" x14ac:dyDescent="0.55000000000000004">
      <c r="A348" s="2" t="s">
        <v>419</v>
      </c>
      <c r="C348" s="173" t="str">
        <f t="shared" si="8"/>
        <v xml:space="preserve">E23 </v>
      </c>
      <c r="D348" s="9"/>
      <c r="F348" s="175">
        <f>LEN(Table3[[#This Row],[Sequence]])</f>
        <v>0</v>
      </c>
    </row>
    <row r="349" spans="1:6" x14ac:dyDescent="0.55000000000000004">
      <c r="A349" s="2" t="s">
        <v>420</v>
      </c>
      <c r="C349" s="173" t="str">
        <f t="shared" si="8"/>
        <v xml:space="preserve">E24 </v>
      </c>
      <c r="D349" s="9"/>
      <c r="F349" s="175">
        <f>LEN(Table3[[#This Row],[Sequence]])</f>
        <v>0</v>
      </c>
    </row>
    <row r="350" spans="1:6" x14ac:dyDescent="0.55000000000000004">
      <c r="A350" s="2" t="s">
        <v>421</v>
      </c>
      <c r="C350" s="173" t="str">
        <f t="shared" si="8"/>
        <v xml:space="preserve">E25 </v>
      </c>
      <c r="D350" s="9"/>
      <c r="F350" s="175">
        <f>LEN(Table3[[#This Row],[Sequence]])</f>
        <v>0</v>
      </c>
    </row>
    <row r="351" spans="1:6" x14ac:dyDescent="0.55000000000000004">
      <c r="A351" s="2" t="s">
        <v>422</v>
      </c>
      <c r="C351" s="173" t="str">
        <f t="shared" si="8"/>
        <v xml:space="preserve">E26 </v>
      </c>
      <c r="D351" s="9"/>
      <c r="F351" s="175">
        <f>LEN(Table3[[#This Row],[Sequence]])</f>
        <v>0</v>
      </c>
    </row>
    <row r="352" spans="1:6" x14ac:dyDescent="0.55000000000000004">
      <c r="A352" s="2" t="s">
        <v>423</v>
      </c>
      <c r="C352" s="173" t="str">
        <f t="shared" si="8"/>
        <v xml:space="preserve">E27 </v>
      </c>
      <c r="D352" s="9"/>
      <c r="F352" s="175">
        <f>LEN(Table3[[#This Row],[Sequence]])</f>
        <v>0</v>
      </c>
    </row>
    <row r="353" spans="1:6" x14ac:dyDescent="0.55000000000000004">
      <c r="A353" s="2" t="s">
        <v>424</v>
      </c>
      <c r="C353" s="173" t="str">
        <f t="shared" si="8"/>
        <v xml:space="preserve">E28 </v>
      </c>
      <c r="D353" s="9"/>
      <c r="F353" s="175">
        <f>LEN(Table3[[#This Row],[Sequence]])</f>
        <v>0</v>
      </c>
    </row>
    <row r="354" spans="1:6" x14ac:dyDescent="0.55000000000000004">
      <c r="A354" s="2" t="s">
        <v>425</v>
      </c>
      <c r="C354" s="173" t="str">
        <f t="shared" si="8"/>
        <v xml:space="preserve">E29 </v>
      </c>
      <c r="F354" s="175">
        <f>LEN(Table3[[#This Row],[Sequence]])</f>
        <v>0</v>
      </c>
    </row>
    <row r="355" spans="1:6" x14ac:dyDescent="0.55000000000000004">
      <c r="A355" s="2" t="s">
        <v>426</v>
      </c>
      <c r="C355" s="173" t="str">
        <f t="shared" si="8"/>
        <v xml:space="preserve">E30 </v>
      </c>
      <c r="F355" s="175">
        <f>LEN(Table3[[#This Row],[Sequence]])</f>
        <v>0</v>
      </c>
    </row>
    <row r="356" spans="1:6" x14ac:dyDescent="0.55000000000000004">
      <c r="A356" s="2" t="s">
        <v>427</v>
      </c>
      <c r="C356" s="173" t="str">
        <f t="shared" si="8"/>
        <v xml:space="preserve">E31 </v>
      </c>
      <c r="F356" s="175">
        <f>LEN(Table3[[#This Row],[Sequence]])</f>
        <v>0</v>
      </c>
    </row>
    <row r="357" spans="1:6" x14ac:dyDescent="0.55000000000000004">
      <c r="A357" s="2" t="s">
        <v>428</v>
      </c>
      <c r="C357" s="173" t="str">
        <f t="shared" si="8"/>
        <v xml:space="preserve">E32 </v>
      </c>
      <c r="F357" s="175">
        <f>LEN(Table3[[#This Row],[Sequence]])</f>
        <v>0</v>
      </c>
    </row>
    <row r="358" spans="1:6" x14ac:dyDescent="0.55000000000000004">
      <c r="A358" s="2" t="s">
        <v>429</v>
      </c>
      <c r="C358" s="173" t="str">
        <f t="shared" si="8"/>
        <v xml:space="preserve">E33 </v>
      </c>
      <c r="D358" s="9"/>
      <c r="F358" s="175">
        <f>LEN(Table3[[#This Row],[Sequence]])</f>
        <v>0</v>
      </c>
    </row>
    <row r="359" spans="1:6" x14ac:dyDescent="0.55000000000000004">
      <c r="A359" s="2" t="s">
        <v>430</v>
      </c>
      <c r="C359" s="173" t="str">
        <f t="shared" si="8"/>
        <v xml:space="preserve">E34 </v>
      </c>
      <c r="D359" s="9"/>
      <c r="F359" s="175">
        <f>LEN(Table3[[#This Row],[Sequence]])</f>
        <v>0</v>
      </c>
    </row>
    <row r="360" spans="1:6" x14ac:dyDescent="0.55000000000000004">
      <c r="A360" s="2" t="s">
        <v>431</v>
      </c>
      <c r="C360" s="173" t="str">
        <f t="shared" ref="C360:C391" si="9">CONCATENATE(A360," ",B360)</f>
        <v xml:space="preserve">E35 </v>
      </c>
      <c r="D360" s="9"/>
      <c r="F360" s="175">
        <f>LEN(Table3[[#This Row],[Sequence]])</f>
        <v>0</v>
      </c>
    </row>
    <row r="361" spans="1:6" x14ac:dyDescent="0.55000000000000004">
      <c r="A361" s="2" t="s">
        <v>432</v>
      </c>
      <c r="C361" s="173" t="str">
        <f t="shared" si="9"/>
        <v xml:space="preserve">E36 </v>
      </c>
      <c r="D361" s="9"/>
      <c r="F361" s="175">
        <f>LEN(Table3[[#This Row],[Sequence]])</f>
        <v>0</v>
      </c>
    </row>
    <row r="362" spans="1:6" x14ac:dyDescent="0.55000000000000004">
      <c r="A362" s="2" t="s">
        <v>433</v>
      </c>
      <c r="C362" s="173" t="str">
        <f t="shared" si="9"/>
        <v xml:space="preserve">E37 </v>
      </c>
      <c r="D362" s="9"/>
      <c r="F362" s="175">
        <f>LEN(Table3[[#This Row],[Sequence]])</f>
        <v>0</v>
      </c>
    </row>
    <row r="363" spans="1:6" x14ac:dyDescent="0.55000000000000004">
      <c r="A363" s="2" t="s">
        <v>434</v>
      </c>
      <c r="C363" s="173" t="str">
        <f t="shared" si="9"/>
        <v xml:space="preserve">E38 </v>
      </c>
      <c r="D363" s="9"/>
      <c r="F363" s="175">
        <f>LEN(Table3[[#This Row],[Sequence]])</f>
        <v>0</v>
      </c>
    </row>
    <row r="364" spans="1:6" x14ac:dyDescent="0.55000000000000004">
      <c r="A364" s="2" t="s">
        <v>435</v>
      </c>
      <c r="C364" s="173" t="str">
        <f t="shared" si="9"/>
        <v xml:space="preserve">E39 </v>
      </c>
      <c r="D364" s="9"/>
      <c r="F364" s="175">
        <f>LEN(Table3[[#This Row],[Sequence]])</f>
        <v>0</v>
      </c>
    </row>
    <row r="365" spans="1:6" x14ac:dyDescent="0.55000000000000004">
      <c r="A365" s="2" t="s">
        <v>436</v>
      </c>
      <c r="C365" s="173" t="str">
        <f t="shared" si="9"/>
        <v xml:space="preserve">E40 </v>
      </c>
      <c r="D365" s="9"/>
      <c r="F365" s="175">
        <f>LEN(Table3[[#This Row],[Sequence]])</f>
        <v>0</v>
      </c>
    </row>
    <row r="366" spans="1:6" x14ac:dyDescent="0.55000000000000004">
      <c r="A366" s="2" t="s">
        <v>437</v>
      </c>
      <c r="C366" s="173" t="str">
        <f t="shared" si="9"/>
        <v xml:space="preserve">E41 </v>
      </c>
      <c r="D366" s="9"/>
      <c r="F366" s="175">
        <f>LEN(Table3[[#This Row],[Sequence]])</f>
        <v>0</v>
      </c>
    </row>
    <row r="367" spans="1:6" x14ac:dyDescent="0.55000000000000004">
      <c r="A367" s="2" t="s">
        <v>438</v>
      </c>
      <c r="C367" s="174" t="str">
        <f t="shared" si="9"/>
        <v xml:space="preserve">E42 </v>
      </c>
      <c r="D367" s="9"/>
      <c r="F367" s="175">
        <f>LEN(Table3[[#This Row],[Sequence]])</f>
        <v>0</v>
      </c>
    </row>
    <row r="368" spans="1:6" x14ac:dyDescent="0.55000000000000004">
      <c r="A368" s="2" t="s">
        <v>439</v>
      </c>
      <c r="C368" s="174" t="str">
        <f t="shared" si="9"/>
        <v xml:space="preserve">E43 </v>
      </c>
      <c r="D368" s="9"/>
      <c r="F368" s="175">
        <f>LEN(Table3[[#This Row],[Sequence]])</f>
        <v>0</v>
      </c>
    </row>
    <row r="369" spans="1:6" x14ac:dyDescent="0.55000000000000004">
      <c r="A369" s="2" t="s">
        <v>440</v>
      </c>
      <c r="C369" s="174" t="str">
        <f t="shared" si="9"/>
        <v xml:space="preserve">E44 </v>
      </c>
      <c r="D369" s="9"/>
      <c r="F369" s="175">
        <f>LEN(Table3[[#This Row],[Sequence]])</f>
        <v>0</v>
      </c>
    </row>
    <row r="370" spans="1:6" x14ac:dyDescent="0.55000000000000004">
      <c r="A370" s="2" t="s">
        <v>441</v>
      </c>
      <c r="C370" s="174" t="str">
        <f t="shared" si="9"/>
        <v xml:space="preserve">E45 </v>
      </c>
      <c r="D370" s="9"/>
      <c r="F370" s="175">
        <f>LEN(Table3[[#This Row],[Sequence]])</f>
        <v>0</v>
      </c>
    </row>
    <row r="371" spans="1:6" x14ac:dyDescent="0.55000000000000004">
      <c r="A371" s="2" t="s">
        <v>442</v>
      </c>
      <c r="C371" s="174" t="str">
        <f t="shared" si="9"/>
        <v xml:space="preserve">E46 </v>
      </c>
      <c r="D371" s="9"/>
      <c r="F371" s="175">
        <f>LEN(Table3[[#This Row],[Sequence]])</f>
        <v>0</v>
      </c>
    </row>
    <row r="372" spans="1:6" x14ac:dyDescent="0.55000000000000004">
      <c r="A372" s="2" t="s">
        <v>443</v>
      </c>
      <c r="C372" s="174" t="str">
        <f t="shared" si="9"/>
        <v xml:space="preserve">E47 </v>
      </c>
      <c r="D372" s="9"/>
      <c r="F372" s="175">
        <f>LEN(Table3[[#This Row],[Sequence]])</f>
        <v>0</v>
      </c>
    </row>
    <row r="373" spans="1:6" x14ac:dyDescent="0.55000000000000004">
      <c r="A373" s="2" t="s">
        <v>444</v>
      </c>
      <c r="C373" s="174" t="str">
        <f t="shared" si="9"/>
        <v xml:space="preserve">E48 </v>
      </c>
      <c r="D373" s="9"/>
      <c r="F373" s="175">
        <f>LEN(Table3[[#This Row],[Sequence]])</f>
        <v>0</v>
      </c>
    </row>
    <row r="374" spans="1:6" x14ac:dyDescent="0.55000000000000004">
      <c r="A374" s="2" t="s">
        <v>445</v>
      </c>
      <c r="C374" s="174" t="str">
        <f t="shared" si="9"/>
        <v xml:space="preserve">E49 </v>
      </c>
      <c r="D374" s="9"/>
      <c r="F374" s="175">
        <f>LEN(Table3[[#This Row],[Sequence]])</f>
        <v>0</v>
      </c>
    </row>
    <row r="375" spans="1:6" x14ac:dyDescent="0.55000000000000004">
      <c r="A375" s="2" t="s">
        <v>446</v>
      </c>
      <c r="C375" s="174" t="str">
        <f t="shared" si="9"/>
        <v xml:space="preserve">E50 </v>
      </c>
      <c r="D375" s="9"/>
      <c r="F375" s="175">
        <f>LEN(Table3[[#This Row],[Sequence]])</f>
        <v>0</v>
      </c>
    </row>
    <row r="376" spans="1:6" x14ac:dyDescent="0.55000000000000004">
      <c r="A376" s="2" t="s">
        <v>447</v>
      </c>
      <c r="C376" s="174" t="str">
        <f t="shared" si="9"/>
        <v xml:space="preserve">E51 </v>
      </c>
      <c r="D376" s="9"/>
      <c r="F376" s="175">
        <f>LEN(Table3[[#This Row],[Sequence]])</f>
        <v>0</v>
      </c>
    </row>
    <row r="377" spans="1:6" x14ac:dyDescent="0.55000000000000004">
      <c r="A377" s="2" t="s">
        <v>448</v>
      </c>
      <c r="C377" s="174" t="str">
        <f t="shared" si="9"/>
        <v xml:space="preserve">E52 </v>
      </c>
      <c r="D377" s="9"/>
      <c r="F377" s="175">
        <f>LEN(Table3[[#This Row],[Sequence]])</f>
        <v>0</v>
      </c>
    </row>
    <row r="378" spans="1:6" x14ac:dyDescent="0.55000000000000004">
      <c r="A378" s="2" t="s">
        <v>449</v>
      </c>
      <c r="C378" s="174" t="str">
        <f t="shared" si="9"/>
        <v xml:space="preserve">E53 </v>
      </c>
      <c r="D378" s="9"/>
      <c r="F378" s="175">
        <f>LEN(Table3[[#This Row],[Sequence]])</f>
        <v>0</v>
      </c>
    </row>
    <row r="379" spans="1:6" x14ac:dyDescent="0.55000000000000004">
      <c r="A379" s="2" t="s">
        <v>450</v>
      </c>
      <c r="C379" s="174" t="str">
        <f t="shared" si="9"/>
        <v xml:space="preserve">E54 </v>
      </c>
      <c r="D379" s="9"/>
      <c r="F379" s="175">
        <f>LEN(Table3[[#This Row],[Sequence]])</f>
        <v>0</v>
      </c>
    </row>
    <row r="380" spans="1:6" x14ac:dyDescent="0.55000000000000004">
      <c r="A380" s="2" t="s">
        <v>451</v>
      </c>
      <c r="C380" s="174" t="str">
        <f t="shared" si="9"/>
        <v xml:space="preserve">E55 </v>
      </c>
      <c r="D380" s="9"/>
      <c r="F380" s="175">
        <f>LEN(Table3[[#This Row],[Sequence]])</f>
        <v>0</v>
      </c>
    </row>
    <row r="381" spans="1:6" x14ac:dyDescent="0.55000000000000004">
      <c r="A381" s="2" t="s">
        <v>452</v>
      </c>
      <c r="C381" s="174" t="str">
        <f t="shared" si="9"/>
        <v xml:space="preserve">E56 </v>
      </c>
      <c r="D381" s="9"/>
      <c r="F381" s="175">
        <f>LEN(Table3[[#This Row],[Sequence]])</f>
        <v>0</v>
      </c>
    </row>
    <row r="382" spans="1:6" x14ac:dyDescent="0.55000000000000004">
      <c r="A382" s="2" t="s">
        <v>453</v>
      </c>
      <c r="C382" s="174" t="str">
        <f t="shared" si="9"/>
        <v xml:space="preserve">E57 </v>
      </c>
      <c r="D382" s="9"/>
      <c r="F382" s="175">
        <f>LEN(Table3[[#This Row],[Sequence]])</f>
        <v>0</v>
      </c>
    </row>
    <row r="383" spans="1:6" x14ac:dyDescent="0.55000000000000004">
      <c r="A383" s="2" t="s">
        <v>454</v>
      </c>
      <c r="C383" s="174" t="str">
        <f t="shared" si="9"/>
        <v xml:space="preserve">E58 </v>
      </c>
      <c r="D383" s="9"/>
      <c r="F383" s="175">
        <f>LEN(Table3[[#This Row],[Sequence]])</f>
        <v>0</v>
      </c>
    </row>
    <row r="384" spans="1:6" x14ac:dyDescent="0.55000000000000004">
      <c r="A384" s="2" t="s">
        <v>455</v>
      </c>
      <c r="C384" s="174" t="str">
        <f t="shared" si="9"/>
        <v xml:space="preserve">E59 </v>
      </c>
      <c r="D384" s="9"/>
      <c r="F384" s="175">
        <f>LEN(Table3[[#This Row],[Sequence]])</f>
        <v>0</v>
      </c>
    </row>
    <row r="385" spans="1:6" x14ac:dyDescent="0.55000000000000004">
      <c r="A385" s="2" t="s">
        <v>456</v>
      </c>
      <c r="C385" s="174" t="str">
        <f t="shared" si="9"/>
        <v xml:space="preserve">E60 </v>
      </c>
      <c r="D385" s="9"/>
      <c r="F385" s="175">
        <f>LEN(Table3[[#This Row],[Sequence]])</f>
        <v>0</v>
      </c>
    </row>
    <row r="386" spans="1:6" x14ac:dyDescent="0.55000000000000004">
      <c r="A386" s="2" t="s">
        <v>457</v>
      </c>
      <c r="C386" s="174" t="str">
        <f t="shared" si="9"/>
        <v xml:space="preserve">E61 </v>
      </c>
      <c r="D386" s="9"/>
      <c r="F386" s="175">
        <f>LEN(Table3[[#This Row],[Sequence]])</f>
        <v>0</v>
      </c>
    </row>
    <row r="387" spans="1:6" x14ac:dyDescent="0.55000000000000004">
      <c r="A387" s="2" t="s">
        <v>458</v>
      </c>
      <c r="C387" s="174" t="str">
        <f t="shared" si="9"/>
        <v xml:space="preserve">E62 </v>
      </c>
      <c r="D387" s="9"/>
      <c r="F387" s="175">
        <f>LEN(Table3[[#This Row],[Sequence]])</f>
        <v>0</v>
      </c>
    </row>
    <row r="388" spans="1:6" x14ac:dyDescent="0.55000000000000004">
      <c r="A388" s="2" t="s">
        <v>459</v>
      </c>
      <c r="C388" s="174" t="str">
        <f t="shared" si="9"/>
        <v xml:space="preserve">E63 </v>
      </c>
      <c r="D388" s="9"/>
      <c r="F388" s="175">
        <f>LEN(Table3[[#This Row],[Sequence]])</f>
        <v>0</v>
      </c>
    </row>
    <row r="389" spans="1:6" x14ac:dyDescent="0.55000000000000004">
      <c r="A389" s="2" t="s">
        <v>460</v>
      </c>
      <c r="C389" s="174" t="str">
        <f t="shared" si="9"/>
        <v xml:space="preserve">E64 </v>
      </c>
      <c r="D389" s="9"/>
      <c r="F389" s="175">
        <f>LEN(Table3[[#This Row],[Sequence]])</f>
        <v>0</v>
      </c>
    </row>
    <row r="390" spans="1:6" x14ac:dyDescent="0.55000000000000004">
      <c r="A390" s="2" t="s">
        <v>461</v>
      </c>
      <c r="C390" s="174" t="str">
        <f t="shared" si="9"/>
        <v xml:space="preserve">E65 </v>
      </c>
      <c r="D390" s="9"/>
      <c r="F390" s="175">
        <f>LEN(Table3[[#This Row],[Sequence]])</f>
        <v>0</v>
      </c>
    </row>
    <row r="391" spans="1:6" x14ac:dyDescent="0.55000000000000004">
      <c r="A391" s="2" t="s">
        <v>462</v>
      </c>
      <c r="C391" s="174" t="str">
        <f t="shared" si="9"/>
        <v xml:space="preserve">E66 </v>
      </c>
      <c r="D391" s="9"/>
      <c r="F391" s="175">
        <f>LEN(Table3[[#This Row],[Sequence]])</f>
        <v>0</v>
      </c>
    </row>
    <row r="392" spans="1:6" x14ac:dyDescent="0.55000000000000004">
      <c r="A392" s="2" t="s">
        <v>463</v>
      </c>
      <c r="C392" s="174" t="str">
        <f t="shared" ref="C392:C406" si="10">CONCATENATE(A392," ",B392)</f>
        <v xml:space="preserve">E67 </v>
      </c>
      <c r="D392" s="9"/>
      <c r="F392" s="175">
        <f>LEN(Table3[[#This Row],[Sequence]])</f>
        <v>0</v>
      </c>
    </row>
    <row r="393" spans="1:6" x14ac:dyDescent="0.55000000000000004">
      <c r="A393" s="2" t="s">
        <v>464</v>
      </c>
      <c r="C393" s="174" t="str">
        <f t="shared" si="10"/>
        <v xml:space="preserve">E68 </v>
      </c>
      <c r="D393" s="9"/>
      <c r="F393" s="175">
        <f>LEN(Table3[[#This Row],[Sequence]])</f>
        <v>0</v>
      </c>
    </row>
    <row r="394" spans="1:6" x14ac:dyDescent="0.55000000000000004">
      <c r="A394" s="2" t="s">
        <v>465</v>
      </c>
      <c r="C394" s="174" t="str">
        <f t="shared" si="10"/>
        <v xml:space="preserve">E69 </v>
      </c>
      <c r="D394" s="9"/>
      <c r="F394" s="175">
        <f>LEN(Table3[[#This Row],[Sequence]])</f>
        <v>0</v>
      </c>
    </row>
    <row r="395" spans="1:6" x14ac:dyDescent="0.55000000000000004">
      <c r="A395" s="2" t="s">
        <v>466</v>
      </c>
      <c r="C395" s="174" t="str">
        <f t="shared" si="10"/>
        <v xml:space="preserve">E70 </v>
      </c>
      <c r="D395" s="9"/>
      <c r="F395" s="175">
        <f>LEN(Table3[[#This Row],[Sequence]])</f>
        <v>0</v>
      </c>
    </row>
    <row r="396" spans="1:6" x14ac:dyDescent="0.55000000000000004">
      <c r="A396" s="2" t="s">
        <v>467</v>
      </c>
      <c r="C396" s="174" t="str">
        <f t="shared" si="10"/>
        <v xml:space="preserve">E71 </v>
      </c>
      <c r="D396" s="9"/>
      <c r="F396" s="175">
        <f>LEN(Table3[[#This Row],[Sequence]])</f>
        <v>0</v>
      </c>
    </row>
    <row r="397" spans="1:6" x14ac:dyDescent="0.55000000000000004">
      <c r="A397" s="2" t="s">
        <v>468</v>
      </c>
      <c r="C397" s="174" t="str">
        <f t="shared" si="10"/>
        <v xml:space="preserve">E72 </v>
      </c>
      <c r="D397" s="9"/>
      <c r="F397" s="175">
        <f>LEN(Table3[[#This Row],[Sequence]])</f>
        <v>0</v>
      </c>
    </row>
    <row r="398" spans="1:6" x14ac:dyDescent="0.55000000000000004">
      <c r="A398" s="2" t="s">
        <v>469</v>
      </c>
      <c r="C398" s="174" t="str">
        <f t="shared" si="10"/>
        <v xml:space="preserve">E73 </v>
      </c>
      <c r="D398" s="9"/>
      <c r="F398" s="175">
        <f>LEN(Table3[[#This Row],[Sequence]])</f>
        <v>0</v>
      </c>
    </row>
    <row r="399" spans="1:6" x14ac:dyDescent="0.55000000000000004">
      <c r="A399" s="2" t="s">
        <v>470</v>
      </c>
      <c r="C399" s="174" t="str">
        <f t="shared" si="10"/>
        <v xml:space="preserve">E74 </v>
      </c>
      <c r="D399" s="9"/>
      <c r="F399" s="175">
        <f>LEN(Table3[[#This Row],[Sequence]])</f>
        <v>0</v>
      </c>
    </row>
    <row r="400" spans="1:6" x14ac:dyDescent="0.55000000000000004">
      <c r="A400" s="2" t="s">
        <v>471</v>
      </c>
      <c r="C400" s="174" t="str">
        <f t="shared" si="10"/>
        <v xml:space="preserve">E75 </v>
      </c>
      <c r="D400" s="9"/>
      <c r="F400" s="175">
        <f>LEN(Table3[[#This Row],[Sequence]])</f>
        <v>0</v>
      </c>
    </row>
    <row r="401" spans="1:6" x14ac:dyDescent="0.55000000000000004">
      <c r="A401" s="2" t="s">
        <v>472</v>
      </c>
      <c r="C401" s="174" t="str">
        <f t="shared" si="10"/>
        <v xml:space="preserve">E76 </v>
      </c>
      <c r="D401" s="9"/>
      <c r="F401" s="175">
        <f>LEN(Table3[[#This Row],[Sequence]])</f>
        <v>0</v>
      </c>
    </row>
    <row r="402" spans="1:6" x14ac:dyDescent="0.55000000000000004">
      <c r="A402" s="2" t="s">
        <v>473</v>
      </c>
      <c r="C402" s="174" t="str">
        <f t="shared" si="10"/>
        <v xml:space="preserve">E77 </v>
      </c>
      <c r="D402" s="9"/>
      <c r="F402" s="175">
        <f>LEN(Table3[[#This Row],[Sequence]])</f>
        <v>0</v>
      </c>
    </row>
    <row r="403" spans="1:6" x14ac:dyDescent="0.55000000000000004">
      <c r="A403" s="2" t="s">
        <v>474</v>
      </c>
      <c r="C403" s="174" t="str">
        <f t="shared" si="10"/>
        <v xml:space="preserve">E78 </v>
      </c>
      <c r="D403" s="9"/>
      <c r="F403" s="175">
        <f>LEN(Table3[[#This Row],[Sequence]])</f>
        <v>0</v>
      </c>
    </row>
    <row r="404" spans="1:6" x14ac:dyDescent="0.55000000000000004">
      <c r="A404" s="2" t="s">
        <v>475</v>
      </c>
      <c r="C404" s="174" t="str">
        <f t="shared" si="10"/>
        <v xml:space="preserve">E79 </v>
      </c>
      <c r="D404" s="9"/>
      <c r="F404" s="175">
        <f>LEN(Table3[[#This Row],[Sequence]])</f>
        <v>0</v>
      </c>
    </row>
    <row r="405" spans="1:6" x14ac:dyDescent="0.55000000000000004">
      <c r="A405" s="2" t="s">
        <v>476</v>
      </c>
      <c r="C405" s="174" t="str">
        <f t="shared" si="10"/>
        <v xml:space="preserve">E80 </v>
      </c>
      <c r="D405" s="9"/>
      <c r="F405" s="175">
        <f>LEN(Table3[[#This Row],[Sequence]])</f>
        <v>0</v>
      </c>
    </row>
    <row r="406" spans="1:6" x14ac:dyDescent="0.55000000000000004">
      <c r="A406" s="2" t="s">
        <v>477</v>
      </c>
      <c r="C406" s="174" t="str">
        <f t="shared" si="10"/>
        <v xml:space="preserve">E81 </v>
      </c>
      <c r="D406" s="9"/>
      <c r="F406" s="175">
        <f>LEN(Table3[[#This Row],[Sequence]])</f>
        <v>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Sheet4">
    <tabColor theme="4"/>
  </sheetPr>
  <dimension ref="A1:S386"/>
  <sheetViews>
    <sheetView zoomScale="120" zoomScaleNormal="120" workbookViewId="0">
      <selection activeCell="K14" sqref="K14"/>
    </sheetView>
  </sheetViews>
  <sheetFormatPr defaultColWidth="8.89453125" defaultRowHeight="14.4" x14ac:dyDescent="0.55000000000000004"/>
  <cols>
    <col min="1" max="1" width="16.1015625" style="15" customWidth="1"/>
    <col min="2" max="2" width="8.89453125" style="15"/>
    <col min="3" max="3" width="46.1015625" style="15" customWidth="1"/>
    <col min="4" max="5" width="8.89453125" style="15"/>
    <col min="6" max="6" width="12.20703125" style="15" customWidth="1"/>
    <col min="7" max="7" width="8.89453125" style="15"/>
    <col min="8" max="8" width="14.5234375" style="15" customWidth="1"/>
    <col min="9" max="9" width="9.41796875" style="15" customWidth="1"/>
    <col min="10" max="10" width="8.89453125" style="15"/>
    <col min="11" max="11" width="16.1015625" style="15" customWidth="1"/>
    <col min="12" max="12" width="8.89453125" style="15"/>
    <col min="13" max="13" width="46.1015625" style="15" customWidth="1"/>
    <col min="14" max="15" width="8.89453125" style="15"/>
    <col min="16" max="16" width="12.20703125" style="15" customWidth="1"/>
    <col min="17" max="17" width="8.89453125" style="15"/>
    <col min="18" max="18" width="14.5234375" style="15" customWidth="1"/>
    <col min="19" max="19" width="9.41796875" style="15" customWidth="1"/>
    <col min="20" max="16384" width="8.89453125" style="15"/>
  </cols>
  <sheetData>
    <row r="1" spans="1:11" x14ac:dyDescent="0.55000000000000004">
      <c r="A1" s="15" t="s">
        <v>6</v>
      </c>
      <c r="B1" s="15" t="s">
        <v>206</v>
      </c>
      <c r="C1" s="15" t="s">
        <v>1</v>
      </c>
      <c r="D1" s="15" t="s">
        <v>207</v>
      </c>
      <c r="E1" s="15" t="s">
        <v>208</v>
      </c>
      <c r="F1" s="15" t="s">
        <v>209</v>
      </c>
      <c r="G1" s="15" t="s">
        <v>210</v>
      </c>
      <c r="H1" s="15" t="s">
        <v>211</v>
      </c>
      <c r="I1" s="15" t="s">
        <v>212</v>
      </c>
    </row>
    <row r="2" spans="1:11" x14ac:dyDescent="0.55000000000000004">
      <c r="A2" s="15" t="str">
        <f>Table3[[#This Row],[Name (generated)]]</f>
        <v>A01 (2) P1 Plac/ara-1</v>
      </c>
      <c r="C2" s="15" t="str">
        <f>Table3[[#This Row],[Sequence]]</f>
        <v>gcatCGTCTCaCTTCacgtctgtgtggaattgtg</v>
      </c>
      <c r="E2" s="15">
        <v>2.5000000000000001E-2</v>
      </c>
      <c r="F2" s="15" t="s">
        <v>214</v>
      </c>
      <c r="G2" s="15" t="s">
        <v>213</v>
      </c>
      <c r="I2" s="15">
        <v>1</v>
      </c>
      <c r="K2" s="4" t="s">
        <v>570</v>
      </c>
    </row>
    <row r="3" spans="1:11" x14ac:dyDescent="0.55000000000000004">
      <c r="A3" s="15" t="str">
        <f>Table3[[#This Row],[Name (generated)]]</f>
        <v xml:space="preserve">A02 </v>
      </c>
      <c r="C3" s="15">
        <f>Table3[[#This Row],[Sequence]]</f>
        <v>0</v>
      </c>
      <c r="E3" s="15">
        <v>2.5000000000000001E-2</v>
      </c>
      <c r="F3" s="15" t="s">
        <v>214</v>
      </c>
      <c r="G3" s="15" t="s">
        <v>213</v>
      </c>
      <c r="I3" s="15">
        <v>1</v>
      </c>
    </row>
    <row r="4" spans="1:11" x14ac:dyDescent="0.55000000000000004">
      <c r="A4" s="15" t="str">
        <f>Table3[[#This Row],[Name (generated)]]</f>
        <v xml:space="preserve">A03 </v>
      </c>
      <c r="C4" s="15">
        <f>Table3[[#This Row],[Sequence]]</f>
        <v>0</v>
      </c>
      <c r="E4" s="15">
        <v>2.5000000000000001E-2</v>
      </c>
      <c r="F4" s="15" t="s">
        <v>214</v>
      </c>
      <c r="G4" s="15" t="s">
        <v>213</v>
      </c>
      <c r="I4" s="15">
        <v>1</v>
      </c>
    </row>
    <row r="5" spans="1:11" x14ac:dyDescent="0.55000000000000004">
      <c r="A5" s="15" t="str">
        <f>Table3[[#This Row],[Name (generated)]]</f>
        <v xml:space="preserve">A04 </v>
      </c>
      <c r="C5" s="15">
        <f>Table3[[#This Row],[Sequence]]</f>
        <v>0</v>
      </c>
      <c r="E5" s="15">
        <v>2.5000000000000001E-2</v>
      </c>
      <c r="F5" s="15" t="s">
        <v>214</v>
      </c>
      <c r="G5" s="15" t="s">
        <v>213</v>
      </c>
      <c r="I5" s="15">
        <v>1</v>
      </c>
    </row>
    <row r="6" spans="1:11" x14ac:dyDescent="0.55000000000000004">
      <c r="A6" s="15" t="str">
        <f>Table3[[#This Row],[Name (generated)]]</f>
        <v xml:space="preserve">A05 </v>
      </c>
      <c r="C6" s="15">
        <f>Table3[[#This Row],[Sequence]]</f>
        <v>0</v>
      </c>
      <c r="E6" s="15">
        <v>2.5000000000000001E-2</v>
      </c>
      <c r="F6" s="15" t="s">
        <v>214</v>
      </c>
      <c r="G6" s="15" t="s">
        <v>213</v>
      </c>
      <c r="I6" s="15">
        <v>1</v>
      </c>
    </row>
    <row r="7" spans="1:11" x14ac:dyDescent="0.55000000000000004">
      <c r="A7" s="15" t="str">
        <f>Table3[[#This Row],[Name (generated)]]</f>
        <v xml:space="preserve">A06 </v>
      </c>
      <c r="C7" s="15">
        <f>Table3[[#This Row],[Sequence]]</f>
        <v>0</v>
      </c>
      <c r="E7" s="15">
        <v>2.5000000000000001E-2</v>
      </c>
      <c r="F7" s="15" t="s">
        <v>214</v>
      </c>
      <c r="G7" s="15" t="s">
        <v>213</v>
      </c>
      <c r="I7" s="15">
        <v>1</v>
      </c>
    </row>
    <row r="8" spans="1:11" x14ac:dyDescent="0.55000000000000004">
      <c r="A8" s="15" t="str">
        <f>Table3[[#This Row],[Name (generated)]]</f>
        <v xml:space="preserve">A07 </v>
      </c>
      <c r="C8" s="15">
        <f>Table3[[#This Row],[Sequence]]</f>
        <v>0</v>
      </c>
      <c r="E8" s="15">
        <v>2.5000000000000001E-2</v>
      </c>
      <c r="F8" s="15" t="s">
        <v>214</v>
      </c>
      <c r="G8" s="15" t="s">
        <v>213</v>
      </c>
      <c r="I8" s="15">
        <v>1</v>
      </c>
    </row>
    <row r="9" spans="1:11" x14ac:dyDescent="0.55000000000000004">
      <c r="A9" s="15" t="str">
        <f>Table3[[#This Row],[Name (generated)]]</f>
        <v xml:space="preserve">A08 </v>
      </c>
      <c r="C9" s="15">
        <f>Table3[[#This Row],[Sequence]]</f>
        <v>0</v>
      </c>
      <c r="E9" s="15">
        <v>2.5000000000000001E-2</v>
      </c>
      <c r="F9" s="15" t="s">
        <v>214</v>
      </c>
      <c r="G9" s="15" t="s">
        <v>213</v>
      </c>
      <c r="I9" s="15">
        <v>1</v>
      </c>
    </row>
    <row r="10" spans="1:11" x14ac:dyDescent="0.55000000000000004">
      <c r="A10" s="15" t="str">
        <f>Table3[[#This Row],[Name (generated)]]</f>
        <v xml:space="preserve">A09 </v>
      </c>
      <c r="C10" s="15">
        <f>Table3[[#This Row],[Sequence]]</f>
        <v>0</v>
      </c>
      <c r="E10" s="15">
        <v>2.5000000000000001E-2</v>
      </c>
      <c r="F10" s="15" t="s">
        <v>214</v>
      </c>
      <c r="G10" s="15" t="s">
        <v>213</v>
      </c>
      <c r="I10" s="15">
        <v>1</v>
      </c>
    </row>
    <row r="11" spans="1:11" x14ac:dyDescent="0.55000000000000004">
      <c r="A11" s="15" t="str">
        <f>Table3[[#This Row],[Name (generated)]]</f>
        <v xml:space="preserve">A10 </v>
      </c>
      <c r="C11" s="15">
        <f>Table3[[#This Row],[Sequence]]</f>
        <v>0</v>
      </c>
      <c r="E11" s="15">
        <v>2.5000000000000001E-2</v>
      </c>
      <c r="F11" s="15" t="s">
        <v>214</v>
      </c>
      <c r="G11" s="15" t="s">
        <v>213</v>
      </c>
      <c r="I11" s="15">
        <v>1</v>
      </c>
    </row>
    <row r="12" spans="1:11" x14ac:dyDescent="0.55000000000000004">
      <c r="A12" s="15" t="str">
        <f>Table3[[#This Row],[Name (generated)]]</f>
        <v xml:space="preserve">A11 </v>
      </c>
      <c r="C12" s="15">
        <f>Table3[[#This Row],[Sequence]]</f>
        <v>0</v>
      </c>
      <c r="E12" s="15">
        <v>2.5000000000000001E-2</v>
      </c>
      <c r="F12" s="15" t="s">
        <v>214</v>
      </c>
      <c r="G12" s="15" t="s">
        <v>213</v>
      </c>
      <c r="I12" s="15">
        <v>1</v>
      </c>
    </row>
    <row r="13" spans="1:11" x14ac:dyDescent="0.55000000000000004">
      <c r="A13" s="15" t="str">
        <f>Table3[[#This Row],[Name (generated)]]</f>
        <v xml:space="preserve">A12 </v>
      </c>
      <c r="C13" s="15">
        <f>Table3[[#This Row],[Sequence]]</f>
        <v>0</v>
      </c>
      <c r="E13" s="15">
        <v>2.5000000000000001E-2</v>
      </c>
      <c r="F13" s="15" t="s">
        <v>214</v>
      </c>
      <c r="G13" s="15" t="s">
        <v>213</v>
      </c>
      <c r="I13" s="15">
        <v>1</v>
      </c>
    </row>
    <row r="14" spans="1:11" x14ac:dyDescent="0.55000000000000004">
      <c r="A14" s="15" t="str">
        <f>Table3[[#This Row],[Name (generated)]]</f>
        <v xml:space="preserve">A13 </v>
      </c>
      <c r="C14" s="15">
        <f>Table3[[#This Row],[Sequence]]</f>
        <v>0</v>
      </c>
      <c r="E14" s="15">
        <v>2.5000000000000001E-2</v>
      </c>
      <c r="F14" s="15" t="s">
        <v>214</v>
      </c>
      <c r="G14" s="15" t="s">
        <v>213</v>
      </c>
      <c r="I14" s="15">
        <v>1</v>
      </c>
    </row>
    <row r="15" spans="1:11" x14ac:dyDescent="0.55000000000000004">
      <c r="A15" s="15" t="str">
        <f>Table3[[#This Row],[Name (generated)]]</f>
        <v xml:space="preserve">A14 </v>
      </c>
      <c r="C15" s="15">
        <f>Table3[[#This Row],[Sequence]]</f>
        <v>0</v>
      </c>
      <c r="E15" s="15">
        <v>2.5000000000000001E-2</v>
      </c>
      <c r="F15" s="15" t="s">
        <v>214</v>
      </c>
      <c r="G15" s="15" t="s">
        <v>213</v>
      </c>
      <c r="I15" s="15">
        <v>1</v>
      </c>
    </row>
    <row r="16" spans="1:11" x14ac:dyDescent="0.55000000000000004">
      <c r="A16" s="15" t="str">
        <f>Table3[[#This Row],[Name (generated)]]</f>
        <v xml:space="preserve">A15 </v>
      </c>
      <c r="C16" s="15">
        <f>Table3[[#This Row],[Sequence]]</f>
        <v>0</v>
      </c>
      <c r="E16" s="15">
        <v>2.5000000000000001E-2</v>
      </c>
      <c r="F16" s="15" t="s">
        <v>214</v>
      </c>
      <c r="G16" s="15" t="s">
        <v>213</v>
      </c>
      <c r="I16" s="15">
        <v>1</v>
      </c>
    </row>
    <row r="17" spans="1:9" x14ac:dyDescent="0.55000000000000004">
      <c r="A17" s="15" t="str">
        <f>Table3[[#This Row],[Name (generated)]]</f>
        <v xml:space="preserve">A16 </v>
      </c>
      <c r="C17" s="15">
        <f>Table3[[#This Row],[Sequence]]</f>
        <v>0</v>
      </c>
      <c r="E17" s="15">
        <v>2.5000000000000001E-2</v>
      </c>
      <c r="F17" s="15" t="s">
        <v>214</v>
      </c>
      <c r="G17" s="15" t="s">
        <v>213</v>
      </c>
      <c r="I17" s="15">
        <v>1</v>
      </c>
    </row>
    <row r="18" spans="1:9" x14ac:dyDescent="0.55000000000000004">
      <c r="A18" s="15" t="str">
        <f>Table3[[#This Row],[Name (generated)]]</f>
        <v xml:space="preserve">A17 </v>
      </c>
      <c r="C18" s="15">
        <f>Table3[[#This Row],[Sequence]]</f>
        <v>0</v>
      </c>
      <c r="E18" s="15">
        <v>2.5000000000000001E-2</v>
      </c>
      <c r="F18" s="15" t="s">
        <v>214</v>
      </c>
      <c r="G18" s="15" t="s">
        <v>213</v>
      </c>
      <c r="I18" s="15">
        <v>1</v>
      </c>
    </row>
    <row r="19" spans="1:9" x14ac:dyDescent="0.55000000000000004">
      <c r="A19" s="15" t="str">
        <f>Table3[[#This Row],[Name (generated)]]</f>
        <v xml:space="preserve">A18 </v>
      </c>
      <c r="C19" s="15">
        <f>Table3[[#This Row],[Sequence]]</f>
        <v>0</v>
      </c>
      <c r="E19" s="15">
        <v>2.5000000000000001E-2</v>
      </c>
      <c r="F19" s="15" t="s">
        <v>214</v>
      </c>
      <c r="G19" s="15" t="s">
        <v>213</v>
      </c>
      <c r="I19" s="15">
        <v>1</v>
      </c>
    </row>
    <row r="20" spans="1:9" x14ac:dyDescent="0.55000000000000004">
      <c r="A20" s="15" t="str">
        <f>Table3[[#This Row],[Name (generated)]]</f>
        <v xml:space="preserve">A19 </v>
      </c>
      <c r="C20" s="15">
        <f>Table3[[#This Row],[Sequence]]</f>
        <v>0</v>
      </c>
      <c r="E20" s="15">
        <v>2.5000000000000001E-2</v>
      </c>
      <c r="F20" s="15" t="s">
        <v>214</v>
      </c>
      <c r="G20" s="15" t="s">
        <v>213</v>
      </c>
      <c r="I20" s="15">
        <v>1</v>
      </c>
    </row>
    <row r="21" spans="1:9" x14ac:dyDescent="0.55000000000000004">
      <c r="A21" s="15" t="str">
        <f>Table3[[#This Row],[Name (generated)]]</f>
        <v xml:space="preserve">A20 </v>
      </c>
      <c r="C21" s="15">
        <f>Table3[[#This Row],[Sequence]]</f>
        <v>0</v>
      </c>
      <c r="E21" s="15">
        <v>2.5000000000000001E-2</v>
      </c>
      <c r="F21" s="15" t="s">
        <v>214</v>
      </c>
      <c r="G21" s="15" t="s">
        <v>213</v>
      </c>
      <c r="I21" s="15">
        <v>1</v>
      </c>
    </row>
    <row r="22" spans="1:9" x14ac:dyDescent="0.55000000000000004">
      <c r="A22" s="15" t="str">
        <f>Table3[[#This Row],[Name (generated)]]</f>
        <v xml:space="preserve">A21 </v>
      </c>
      <c r="C22" s="15">
        <f>Table3[[#This Row],[Sequence]]</f>
        <v>0</v>
      </c>
      <c r="E22" s="15">
        <v>2.5000000000000001E-2</v>
      </c>
      <c r="F22" s="15" t="s">
        <v>214</v>
      </c>
      <c r="G22" s="15" t="s">
        <v>213</v>
      </c>
      <c r="I22" s="15">
        <v>1</v>
      </c>
    </row>
    <row r="23" spans="1:9" x14ac:dyDescent="0.55000000000000004">
      <c r="A23" s="15" t="str">
        <f>Table3[[#This Row],[Name (generated)]]</f>
        <v xml:space="preserve">A22 </v>
      </c>
      <c r="C23" s="15">
        <f>Table3[[#This Row],[Sequence]]</f>
        <v>0</v>
      </c>
      <c r="E23" s="15">
        <v>2.5000000000000001E-2</v>
      </c>
      <c r="F23" s="15" t="s">
        <v>214</v>
      </c>
      <c r="G23" s="15" t="s">
        <v>213</v>
      </c>
      <c r="I23" s="15">
        <v>1</v>
      </c>
    </row>
    <row r="24" spans="1:9" x14ac:dyDescent="0.55000000000000004">
      <c r="A24" s="15" t="str">
        <f>Table3[[#This Row],[Name (generated)]]</f>
        <v xml:space="preserve">A23 </v>
      </c>
      <c r="C24" s="15">
        <f>Table3[[#This Row],[Sequence]]</f>
        <v>0</v>
      </c>
      <c r="E24" s="15">
        <v>2.5000000000000001E-2</v>
      </c>
      <c r="F24" s="15" t="s">
        <v>214</v>
      </c>
      <c r="G24" s="15" t="s">
        <v>213</v>
      </c>
      <c r="I24" s="15">
        <v>1</v>
      </c>
    </row>
    <row r="25" spans="1:9" x14ac:dyDescent="0.55000000000000004">
      <c r="A25" s="15" t="str">
        <f>Table3[[#This Row],[Name (generated)]]</f>
        <v xml:space="preserve">A24 </v>
      </c>
      <c r="C25" s="15">
        <f>Table3[[#This Row],[Sequence]]</f>
        <v>0</v>
      </c>
      <c r="E25" s="15">
        <v>2.5000000000000001E-2</v>
      </c>
      <c r="F25" s="15" t="s">
        <v>214</v>
      </c>
      <c r="G25" s="15" t="s">
        <v>213</v>
      </c>
      <c r="I25" s="15">
        <v>1</v>
      </c>
    </row>
    <row r="26" spans="1:9" x14ac:dyDescent="0.55000000000000004">
      <c r="A26" s="15" t="str">
        <f>Table3[[#This Row],[Name (generated)]]</f>
        <v xml:space="preserve">A25 </v>
      </c>
      <c r="C26" s="15">
        <f>Table3[[#This Row],[Sequence]]</f>
        <v>0</v>
      </c>
      <c r="E26" s="15">
        <v>2.5000000000000001E-2</v>
      </c>
      <c r="F26" s="15" t="s">
        <v>214</v>
      </c>
      <c r="G26" s="15" t="s">
        <v>213</v>
      </c>
      <c r="I26" s="15">
        <v>1</v>
      </c>
    </row>
    <row r="27" spans="1:9" x14ac:dyDescent="0.55000000000000004">
      <c r="A27" s="15" t="str">
        <f>Table3[[#This Row],[Name (generated)]]</f>
        <v xml:space="preserve">A26 </v>
      </c>
      <c r="C27" s="15">
        <f>Table3[[#This Row],[Sequence]]</f>
        <v>0</v>
      </c>
      <c r="E27" s="15">
        <v>2.5000000000000001E-2</v>
      </c>
      <c r="F27" s="15" t="s">
        <v>214</v>
      </c>
      <c r="G27" s="15" t="s">
        <v>213</v>
      </c>
      <c r="I27" s="15">
        <v>1</v>
      </c>
    </row>
    <row r="28" spans="1:9" x14ac:dyDescent="0.55000000000000004">
      <c r="A28" s="15" t="str">
        <f>Table3[[#This Row],[Name (generated)]]</f>
        <v xml:space="preserve">A27 </v>
      </c>
      <c r="C28" s="15">
        <f>Table3[[#This Row],[Sequence]]</f>
        <v>0</v>
      </c>
      <c r="E28" s="15">
        <v>2.5000000000000001E-2</v>
      </c>
      <c r="F28" s="15" t="s">
        <v>214</v>
      </c>
      <c r="G28" s="15" t="s">
        <v>213</v>
      </c>
      <c r="I28" s="15">
        <v>1</v>
      </c>
    </row>
    <row r="29" spans="1:9" x14ac:dyDescent="0.55000000000000004">
      <c r="A29" s="15" t="str">
        <f>Table3[[#This Row],[Name (generated)]]</f>
        <v xml:space="preserve">A28 </v>
      </c>
      <c r="C29" s="15">
        <f>Table3[[#This Row],[Sequence]]</f>
        <v>0</v>
      </c>
      <c r="E29" s="15">
        <v>2.5000000000000001E-2</v>
      </c>
      <c r="F29" s="15" t="s">
        <v>214</v>
      </c>
      <c r="G29" s="15" t="s">
        <v>213</v>
      </c>
      <c r="I29" s="15">
        <v>1</v>
      </c>
    </row>
    <row r="30" spans="1:9" x14ac:dyDescent="0.55000000000000004">
      <c r="A30" s="15" t="str">
        <f>Table3[[#This Row],[Name (generated)]]</f>
        <v xml:space="preserve">A29 </v>
      </c>
      <c r="C30" s="15">
        <f>Table3[[#This Row],[Sequence]]</f>
        <v>0</v>
      </c>
      <c r="E30" s="15">
        <v>2.5000000000000001E-2</v>
      </c>
      <c r="F30" s="15" t="s">
        <v>214</v>
      </c>
      <c r="G30" s="15" t="s">
        <v>213</v>
      </c>
      <c r="I30" s="15">
        <v>1</v>
      </c>
    </row>
    <row r="31" spans="1:9" x14ac:dyDescent="0.55000000000000004">
      <c r="A31" s="15" t="str">
        <f>Table3[[#This Row],[Name (generated)]]</f>
        <v xml:space="preserve">A30 </v>
      </c>
      <c r="C31" s="15">
        <f>Table3[[#This Row],[Sequence]]</f>
        <v>0</v>
      </c>
      <c r="E31" s="15">
        <v>2.5000000000000001E-2</v>
      </c>
      <c r="F31" s="15" t="s">
        <v>214</v>
      </c>
      <c r="G31" s="15" t="s">
        <v>213</v>
      </c>
      <c r="I31" s="15">
        <v>1</v>
      </c>
    </row>
    <row r="32" spans="1:9" x14ac:dyDescent="0.55000000000000004">
      <c r="A32" s="15" t="str">
        <f>Table3[[#This Row],[Name (generated)]]</f>
        <v xml:space="preserve">A31 </v>
      </c>
      <c r="C32" s="15">
        <f>Table3[[#This Row],[Sequence]]</f>
        <v>0</v>
      </c>
      <c r="E32" s="15">
        <v>2.5000000000000001E-2</v>
      </c>
      <c r="F32" s="15" t="s">
        <v>214</v>
      </c>
      <c r="G32" s="15" t="s">
        <v>213</v>
      </c>
      <c r="I32" s="15">
        <v>1</v>
      </c>
    </row>
    <row r="33" spans="1:9" x14ac:dyDescent="0.55000000000000004">
      <c r="A33" s="15" t="str">
        <f>Table3[[#This Row],[Name (generated)]]</f>
        <v xml:space="preserve">A32 </v>
      </c>
      <c r="C33" s="15">
        <f>Table3[[#This Row],[Sequence]]</f>
        <v>0</v>
      </c>
      <c r="E33" s="15">
        <v>2.5000000000000001E-2</v>
      </c>
      <c r="F33" s="15" t="s">
        <v>214</v>
      </c>
      <c r="G33" s="15" t="s">
        <v>213</v>
      </c>
      <c r="I33" s="15">
        <v>1</v>
      </c>
    </row>
    <row r="34" spans="1:9" x14ac:dyDescent="0.55000000000000004">
      <c r="A34" s="15" t="str">
        <f>Table3[[#This Row],[Name (generated)]]</f>
        <v xml:space="preserve">A33 </v>
      </c>
      <c r="C34" s="15">
        <f>Table3[[#This Row],[Sequence]]</f>
        <v>0</v>
      </c>
      <c r="E34" s="15">
        <v>2.5000000000000001E-2</v>
      </c>
      <c r="F34" s="15" t="s">
        <v>214</v>
      </c>
      <c r="G34" s="15" t="s">
        <v>213</v>
      </c>
      <c r="I34" s="15">
        <v>1</v>
      </c>
    </row>
    <row r="35" spans="1:9" x14ac:dyDescent="0.55000000000000004">
      <c r="A35" s="15" t="str">
        <f>Table3[[#This Row],[Name (generated)]]</f>
        <v xml:space="preserve">A34 </v>
      </c>
      <c r="C35" s="15">
        <f>Table3[[#This Row],[Sequence]]</f>
        <v>0</v>
      </c>
      <c r="E35" s="15">
        <v>2.5000000000000001E-2</v>
      </c>
      <c r="F35" s="15" t="s">
        <v>214</v>
      </c>
      <c r="G35" s="15" t="s">
        <v>213</v>
      </c>
      <c r="I35" s="15">
        <v>1</v>
      </c>
    </row>
    <row r="36" spans="1:9" x14ac:dyDescent="0.55000000000000004">
      <c r="A36" s="15" t="str">
        <f>Table3[[#This Row],[Name (generated)]]</f>
        <v xml:space="preserve">A35 </v>
      </c>
      <c r="C36" s="15">
        <f>Table3[[#This Row],[Sequence]]</f>
        <v>0</v>
      </c>
      <c r="E36" s="15">
        <v>2.5000000000000001E-2</v>
      </c>
      <c r="F36" s="15" t="s">
        <v>214</v>
      </c>
      <c r="G36" s="15" t="s">
        <v>213</v>
      </c>
      <c r="I36" s="15">
        <v>1</v>
      </c>
    </row>
    <row r="37" spans="1:9" x14ac:dyDescent="0.55000000000000004">
      <c r="A37" s="15" t="str">
        <f>Table3[[#This Row],[Name (generated)]]</f>
        <v xml:space="preserve">A36 </v>
      </c>
      <c r="C37" s="15">
        <f>Table3[[#This Row],[Sequence]]</f>
        <v>0</v>
      </c>
      <c r="E37" s="15">
        <v>2.5000000000000001E-2</v>
      </c>
      <c r="F37" s="15" t="s">
        <v>214</v>
      </c>
      <c r="G37" s="15" t="s">
        <v>213</v>
      </c>
      <c r="I37" s="15">
        <v>1</v>
      </c>
    </row>
    <row r="38" spans="1:9" x14ac:dyDescent="0.55000000000000004">
      <c r="A38" s="15" t="str">
        <f>Table3[[#This Row],[Name (generated)]]</f>
        <v xml:space="preserve">A37 </v>
      </c>
      <c r="C38" s="15">
        <f>Table3[[#This Row],[Sequence]]</f>
        <v>0</v>
      </c>
      <c r="E38" s="15">
        <v>2.5000000000000001E-2</v>
      </c>
      <c r="F38" s="15" t="s">
        <v>214</v>
      </c>
      <c r="G38" s="15" t="s">
        <v>213</v>
      </c>
      <c r="I38" s="15">
        <v>1</v>
      </c>
    </row>
    <row r="39" spans="1:9" x14ac:dyDescent="0.55000000000000004">
      <c r="A39" s="15" t="str">
        <f>Table3[[#This Row],[Name (generated)]]</f>
        <v xml:space="preserve">A38 </v>
      </c>
      <c r="C39" s="15">
        <f>Table3[[#This Row],[Sequence]]</f>
        <v>0</v>
      </c>
      <c r="E39" s="15">
        <v>2.5000000000000001E-2</v>
      </c>
      <c r="F39" s="15" t="s">
        <v>214</v>
      </c>
      <c r="G39" s="15" t="s">
        <v>213</v>
      </c>
      <c r="I39" s="15">
        <v>1</v>
      </c>
    </row>
    <row r="40" spans="1:9" x14ac:dyDescent="0.55000000000000004">
      <c r="A40" s="15" t="str">
        <f>Table3[[#This Row],[Name (generated)]]</f>
        <v xml:space="preserve">A39 </v>
      </c>
      <c r="C40" s="15">
        <f>Table3[[#This Row],[Sequence]]</f>
        <v>0</v>
      </c>
      <c r="E40" s="15">
        <v>2.5000000000000001E-2</v>
      </c>
      <c r="F40" s="15" t="s">
        <v>214</v>
      </c>
      <c r="G40" s="15" t="s">
        <v>213</v>
      </c>
      <c r="I40" s="15">
        <v>1</v>
      </c>
    </row>
    <row r="41" spans="1:9" x14ac:dyDescent="0.55000000000000004">
      <c r="A41" s="15" t="str">
        <f>Table3[[#This Row],[Name (generated)]]</f>
        <v xml:space="preserve">A40 </v>
      </c>
      <c r="C41" s="15">
        <f>Table3[[#This Row],[Sequence]]</f>
        <v>0</v>
      </c>
      <c r="E41" s="15">
        <v>2.5000000000000001E-2</v>
      </c>
      <c r="F41" s="15" t="s">
        <v>214</v>
      </c>
      <c r="G41" s="15" t="s">
        <v>213</v>
      </c>
      <c r="I41" s="15">
        <v>1</v>
      </c>
    </row>
    <row r="42" spans="1:9" x14ac:dyDescent="0.55000000000000004">
      <c r="A42" s="15" t="str">
        <f>Table3[[#This Row],[Name (generated)]]</f>
        <v xml:space="preserve">A41 </v>
      </c>
      <c r="C42" s="15">
        <f>Table3[[#This Row],[Sequence]]</f>
        <v>0</v>
      </c>
      <c r="E42" s="15">
        <v>2.5000000000000001E-2</v>
      </c>
      <c r="F42" s="15" t="s">
        <v>214</v>
      </c>
      <c r="G42" s="15" t="s">
        <v>213</v>
      </c>
      <c r="I42" s="15">
        <v>1</v>
      </c>
    </row>
    <row r="43" spans="1:9" x14ac:dyDescent="0.55000000000000004">
      <c r="A43" s="15" t="str">
        <f>Table3[[#This Row],[Name (generated)]]</f>
        <v xml:space="preserve">A42 </v>
      </c>
      <c r="C43" s="15">
        <f>Table3[[#This Row],[Sequence]]</f>
        <v>0</v>
      </c>
      <c r="E43" s="15">
        <v>2.5000000000000001E-2</v>
      </c>
      <c r="F43" s="15" t="s">
        <v>214</v>
      </c>
      <c r="G43" s="15" t="s">
        <v>213</v>
      </c>
      <c r="I43" s="15">
        <v>1</v>
      </c>
    </row>
    <row r="44" spans="1:9" x14ac:dyDescent="0.55000000000000004">
      <c r="A44" s="15" t="str">
        <f>Table3[[#This Row],[Name (generated)]]</f>
        <v xml:space="preserve">A43 </v>
      </c>
      <c r="C44" s="15">
        <f>Table3[[#This Row],[Sequence]]</f>
        <v>0</v>
      </c>
      <c r="E44" s="15">
        <v>2.5000000000000001E-2</v>
      </c>
      <c r="F44" s="15" t="s">
        <v>214</v>
      </c>
      <c r="G44" s="15" t="s">
        <v>213</v>
      </c>
      <c r="I44" s="15">
        <v>1</v>
      </c>
    </row>
    <row r="45" spans="1:9" x14ac:dyDescent="0.55000000000000004">
      <c r="A45" s="15" t="str">
        <f>Table3[[#This Row],[Name (generated)]]</f>
        <v xml:space="preserve">A44 </v>
      </c>
      <c r="C45" s="15">
        <f>Table3[[#This Row],[Sequence]]</f>
        <v>0</v>
      </c>
      <c r="E45" s="15">
        <v>2.5000000000000001E-2</v>
      </c>
      <c r="F45" s="15" t="s">
        <v>214</v>
      </c>
      <c r="G45" s="15" t="s">
        <v>213</v>
      </c>
      <c r="I45" s="15">
        <v>1</v>
      </c>
    </row>
    <row r="46" spans="1:9" x14ac:dyDescent="0.55000000000000004">
      <c r="A46" s="15" t="str">
        <f>Table3[[#This Row],[Name (generated)]]</f>
        <v xml:space="preserve">A45 </v>
      </c>
      <c r="C46" s="15">
        <f>Table3[[#This Row],[Sequence]]</f>
        <v>0</v>
      </c>
      <c r="E46" s="15">
        <v>2.5000000000000001E-2</v>
      </c>
      <c r="F46" s="15" t="s">
        <v>214</v>
      </c>
      <c r="G46" s="15" t="s">
        <v>213</v>
      </c>
      <c r="I46" s="15">
        <v>1</v>
      </c>
    </row>
    <row r="47" spans="1:9" x14ac:dyDescent="0.55000000000000004">
      <c r="A47" s="15" t="str">
        <f>Table3[[#This Row],[Name (generated)]]</f>
        <v xml:space="preserve">A46 </v>
      </c>
      <c r="C47" s="15">
        <f>Table3[[#This Row],[Sequence]]</f>
        <v>0</v>
      </c>
      <c r="E47" s="15">
        <v>2.5000000000000001E-2</v>
      </c>
      <c r="F47" s="15" t="s">
        <v>214</v>
      </c>
      <c r="G47" s="15" t="s">
        <v>213</v>
      </c>
      <c r="I47" s="15">
        <v>1</v>
      </c>
    </row>
    <row r="48" spans="1:9" x14ac:dyDescent="0.55000000000000004">
      <c r="A48" s="15" t="str">
        <f>Table3[[#This Row],[Name (generated)]]</f>
        <v xml:space="preserve">A47 </v>
      </c>
      <c r="C48" s="15">
        <f>Table3[[#This Row],[Sequence]]</f>
        <v>0</v>
      </c>
      <c r="E48" s="15">
        <v>2.5000000000000001E-2</v>
      </c>
      <c r="F48" s="15" t="s">
        <v>214</v>
      </c>
      <c r="G48" s="15" t="s">
        <v>213</v>
      </c>
      <c r="I48" s="15">
        <v>1</v>
      </c>
    </row>
    <row r="49" spans="1:9" x14ac:dyDescent="0.55000000000000004">
      <c r="A49" s="15" t="str">
        <f>Table3[[#This Row],[Name (generated)]]</f>
        <v xml:space="preserve">A48 </v>
      </c>
      <c r="C49" s="15">
        <f>Table3[[#This Row],[Sequence]]</f>
        <v>0</v>
      </c>
      <c r="E49" s="15">
        <v>2.5000000000000001E-2</v>
      </c>
      <c r="F49" s="15" t="s">
        <v>214</v>
      </c>
      <c r="G49" s="15" t="s">
        <v>213</v>
      </c>
      <c r="I49" s="15">
        <v>1</v>
      </c>
    </row>
    <row r="50" spans="1:9" x14ac:dyDescent="0.55000000000000004">
      <c r="A50" s="15" t="str">
        <f>Table3[[#This Row],[Name (generated)]]</f>
        <v xml:space="preserve">A49 </v>
      </c>
      <c r="C50" s="15">
        <f>Table3[[#This Row],[Sequence]]</f>
        <v>0</v>
      </c>
      <c r="E50" s="15">
        <v>2.5000000000000001E-2</v>
      </c>
      <c r="F50" s="15" t="s">
        <v>214</v>
      </c>
      <c r="G50" s="15" t="s">
        <v>213</v>
      </c>
      <c r="I50" s="15">
        <v>1</v>
      </c>
    </row>
    <row r="51" spans="1:9" x14ac:dyDescent="0.55000000000000004">
      <c r="A51" s="15" t="str">
        <f>Table3[[#This Row],[Name (generated)]]</f>
        <v xml:space="preserve">A50 </v>
      </c>
      <c r="C51" s="15">
        <f>Table3[[#This Row],[Sequence]]</f>
        <v>0</v>
      </c>
      <c r="E51" s="15">
        <v>2.5000000000000001E-2</v>
      </c>
      <c r="F51" s="15" t="s">
        <v>214</v>
      </c>
      <c r="G51" s="15" t="s">
        <v>213</v>
      </c>
      <c r="I51" s="15">
        <v>1</v>
      </c>
    </row>
    <row r="52" spans="1:9" x14ac:dyDescent="0.55000000000000004">
      <c r="A52" s="15" t="str">
        <f>Table3[[#This Row],[Name (generated)]]</f>
        <v xml:space="preserve">A51 </v>
      </c>
      <c r="C52" s="15">
        <f>Table3[[#This Row],[Sequence]]</f>
        <v>0</v>
      </c>
      <c r="E52" s="15">
        <v>2.5000000000000001E-2</v>
      </c>
      <c r="F52" s="15" t="s">
        <v>214</v>
      </c>
      <c r="G52" s="15" t="s">
        <v>213</v>
      </c>
      <c r="I52" s="15">
        <v>1</v>
      </c>
    </row>
    <row r="53" spans="1:9" x14ac:dyDescent="0.55000000000000004">
      <c r="A53" s="15" t="str">
        <f>Table3[[#This Row],[Name (generated)]]</f>
        <v xml:space="preserve">A52 </v>
      </c>
      <c r="C53" s="15">
        <f>Table3[[#This Row],[Sequence]]</f>
        <v>0</v>
      </c>
      <c r="E53" s="15">
        <v>2.5000000000000001E-2</v>
      </c>
      <c r="F53" s="15" t="s">
        <v>214</v>
      </c>
      <c r="G53" s="15" t="s">
        <v>213</v>
      </c>
      <c r="I53" s="15">
        <v>1</v>
      </c>
    </row>
    <row r="54" spans="1:9" x14ac:dyDescent="0.55000000000000004">
      <c r="A54" s="15" t="str">
        <f>Table3[[#This Row],[Name (generated)]]</f>
        <v xml:space="preserve">A53 </v>
      </c>
      <c r="C54" s="15">
        <f>Table3[[#This Row],[Sequence]]</f>
        <v>0</v>
      </c>
      <c r="E54" s="15">
        <v>2.5000000000000001E-2</v>
      </c>
      <c r="F54" s="15" t="s">
        <v>214</v>
      </c>
      <c r="G54" s="15" t="s">
        <v>213</v>
      </c>
      <c r="I54" s="15">
        <v>1</v>
      </c>
    </row>
    <row r="55" spans="1:9" x14ac:dyDescent="0.55000000000000004">
      <c r="A55" s="15" t="str">
        <f>Table3[[#This Row],[Name (generated)]]</f>
        <v xml:space="preserve">A54 </v>
      </c>
      <c r="C55" s="15">
        <f>Table3[[#This Row],[Sequence]]</f>
        <v>0</v>
      </c>
      <c r="E55" s="15">
        <v>2.5000000000000001E-2</v>
      </c>
      <c r="F55" s="15" t="s">
        <v>214</v>
      </c>
      <c r="G55" s="15" t="s">
        <v>213</v>
      </c>
      <c r="I55" s="15">
        <v>1</v>
      </c>
    </row>
    <row r="56" spans="1:9" x14ac:dyDescent="0.55000000000000004">
      <c r="A56" s="15" t="str">
        <f>Table3[[#This Row],[Name (generated)]]</f>
        <v xml:space="preserve">A55 </v>
      </c>
      <c r="C56" s="15">
        <f>Table3[[#This Row],[Sequence]]</f>
        <v>0</v>
      </c>
      <c r="E56" s="15">
        <v>2.5000000000000001E-2</v>
      </c>
      <c r="F56" s="15" t="s">
        <v>214</v>
      </c>
      <c r="G56" s="15" t="s">
        <v>213</v>
      </c>
      <c r="I56" s="15">
        <v>1</v>
      </c>
    </row>
    <row r="57" spans="1:9" x14ac:dyDescent="0.55000000000000004">
      <c r="A57" s="15" t="str">
        <f>Table3[[#This Row],[Name (generated)]]</f>
        <v xml:space="preserve">A56 </v>
      </c>
      <c r="C57" s="15">
        <f>Table3[[#This Row],[Sequence]]</f>
        <v>0</v>
      </c>
      <c r="E57" s="15">
        <v>2.5000000000000001E-2</v>
      </c>
      <c r="F57" s="15" t="s">
        <v>214</v>
      </c>
      <c r="G57" s="15" t="s">
        <v>213</v>
      </c>
      <c r="I57" s="15">
        <v>1</v>
      </c>
    </row>
    <row r="58" spans="1:9" x14ac:dyDescent="0.55000000000000004">
      <c r="A58" s="15" t="str">
        <f>Table3[[#This Row],[Name (generated)]]</f>
        <v xml:space="preserve">A57 </v>
      </c>
      <c r="C58" s="15">
        <f>Table3[[#This Row],[Sequence]]</f>
        <v>0</v>
      </c>
      <c r="E58" s="15">
        <v>2.5000000000000001E-2</v>
      </c>
      <c r="F58" s="15" t="s">
        <v>214</v>
      </c>
      <c r="G58" s="15" t="s">
        <v>213</v>
      </c>
      <c r="I58" s="15">
        <v>1</v>
      </c>
    </row>
    <row r="59" spans="1:9" x14ac:dyDescent="0.55000000000000004">
      <c r="A59" s="15" t="str">
        <f>Table3[[#This Row],[Name (generated)]]</f>
        <v xml:space="preserve">A58 </v>
      </c>
      <c r="C59" s="15">
        <f>Table3[[#This Row],[Sequence]]</f>
        <v>0</v>
      </c>
      <c r="E59" s="15">
        <v>2.5000000000000001E-2</v>
      </c>
      <c r="F59" s="15" t="s">
        <v>214</v>
      </c>
      <c r="G59" s="15" t="s">
        <v>213</v>
      </c>
      <c r="I59" s="15">
        <v>1</v>
      </c>
    </row>
    <row r="60" spans="1:9" x14ac:dyDescent="0.55000000000000004">
      <c r="A60" s="15" t="str">
        <f>Table3[[#This Row],[Name (generated)]]</f>
        <v xml:space="preserve">A59 </v>
      </c>
      <c r="C60" s="15">
        <f>Table3[[#This Row],[Sequence]]</f>
        <v>0</v>
      </c>
      <c r="E60" s="15">
        <v>2.5000000000000001E-2</v>
      </c>
      <c r="F60" s="15" t="s">
        <v>214</v>
      </c>
      <c r="G60" s="15" t="s">
        <v>213</v>
      </c>
      <c r="I60" s="15">
        <v>1</v>
      </c>
    </row>
    <row r="61" spans="1:9" x14ac:dyDescent="0.55000000000000004">
      <c r="A61" s="15" t="str">
        <f>Table3[[#This Row],[Name (generated)]]</f>
        <v xml:space="preserve">A60 </v>
      </c>
      <c r="C61" s="15">
        <f>Table3[[#This Row],[Sequence]]</f>
        <v>0</v>
      </c>
      <c r="E61" s="15">
        <v>2.5000000000000001E-2</v>
      </c>
      <c r="F61" s="15" t="s">
        <v>214</v>
      </c>
      <c r="G61" s="15" t="s">
        <v>213</v>
      </c>
      <c r="I61" s="15">
        <v>1</v>
      </c>
    </row>
    <row r="62" spans="1:9" x14ac:dyDescent="0.55000000000000004">
      <c r="A62" s="15" t="str">
        <f>Table3[[#This Row],[Name (generated)]]</f>
        <v xml:space="preserve">A61 </v>
      </c>
      <c r="C62" s="15">
        <f>Table3[[#This Row],[Sequence]]</f>
        <v>0</v>
      </c>
      <c r="E62" s="15">
        <v>2.5000000000000001E-2</v>
      </c>
      <c r="F62" s="15" t="s">
        <v>214</v>
      </c>
      <c r="G62" s="15" t="s">
        <v>213</v>
      </c>
      <c r="I62" s="15">
        <v>1</v>
      </c>
    </row>
    <row r="63" spans="1:9" x14ac:dyDescent="0.55000000000000004">
      <c r="A63" s="15" t="str">
        <f>Table3[[#This Row],[Name (generated)]]</f>
        <v xml:space="preserve">A62 </v>
      </c>
      <c r="C63" s="15">
        <f>Table3[[#This Row],[Sequence]]</f>
        <v>0</v>
      </c>
      <c r="E63" s="15">
        <v>2.5000000000000001E-2</v>
      </c>
      <c r="F63" s="15" t="s">
        <v>214</v>
      </c>
      <c r="G63" s="15" t="s">
        <v>213</v>
      </c>
      <c r="I63" s="15">
        <v>1</v>
      </c>
    </row>
    <row r="64" spans="1:9" x14ac:dyDescent="0.55000000000000004">
      <c r="A64" s="15" t="str">
        <f>Table3[[#This Row],[Name (generated)]]</f>
        <v xml:space="preserve">A63 </v>
      </c>
      <c r="C64" s="15">
        <f>Table3[[#This Row],[Sequence]]</f>
        <v>0</v>
      </c>
      <c r="E64" s="15">
        <v>2.5000000000000001E-2</v>
      </c>
      <c r="F64" s="15" t="s">
        <v>214</v>
      </c>
      <c r="G64" s="15" t="s">
        <v>213</v>
      </c>
      <c r="I64" s="15">
        <v>1</v>
      </c>
    </row>
    <row r="65" spans="1:9" x14ac:dyDescent="0.55000000000000004">
      <c r="A65" s="15" t="str">
        <f>Table3[[#This Row],[Name (generated)]]</f>
        <v xml:space="preserve">A64 </v>
      </c>
      <c r="C65" s="15">
        <f>Table3[[#This Row],[Sequence]]</f>
        <v>0</v>
      </c>
      <c r="E65" s="15">
        <v>2.5000000000000001E-2</v>
      </c>
      <c r="F65" s="15" t="s">
        <v>214</v>
      </c>
      <c r="G65" s="15" t="s">
        <v>213</v>
      </c>
      <c r="I65" s="15">
        <v>1</v>
      </c>
    </row>
    <row r="66" spans="1:9" x14ac:dyDescent="0.55000000000000004">
      <c r="A66" s="15" t="str">
        <f>Table3[[#This Row],[Name (generated)]]</f>
        <v xml:space="preserve">A65 </v>
      </c>
      <c r="C66" s="15">
        <f>Table3[[#This Row],[Sequence]]</f>
        <v>0</v>
      </c>
      <c r="E66" s="15">
        <v>2.5000000000000001E-2</v>
      </c>
      <c r="F66" s="15" t="s">
        <v>214</v>
      </c>
      <c r="G66" s="15" t="s">
        <v>213</v>
      </c>
      <c r="I66" s="15">
        <v>1</v>
      </c>
    </row>
    <row r="67" spans="1:9" x14ac:dyDescent="0.55000000000000004">
      <c r="A67" s="15" t="str">
        <f>Table3[[#This Row],[Name (generated)]]</f>
        <v xml:space="preserve">A66 </v>
      </c>
      <c r="C67" s="15">
        <f>Table3[[#This Row],[Sequence]]</f>
        <v>0</v>
      </c>
      <c r="E67" s="15">
        <v>2.5000000000000001E-2</v>
      </c>
      <c r="F67" s="15" t="s">
        <v>214</v>
      </c>
      <c r="G67" s="15" t="s">
        <v>213</v>
      </c>
      <c r="I67" s="15">
        <v>1</v>
      </c>
    </row>
    <row r="68" spans="1:9" x14ac:dyDescent="0.55000000000000004">
      <c r="A68" s="15" t="str">
        <f>Table3[[#This Row],[Name (generated)]]</f>
        <v xml:space="preserve">A67 </v>
      </c>
      <c r="C68" s="15">
        <f>Table3[[#This Row],[Sequence]]</f>
        <v>0</v>
      </c>
      <c r="E68" s="15">
        <v>2.5000000000000001E-2</v>
      </c>
      <c r="F68" s="15" t="s">
        <v>214</v>
      </c>
      <c r="G68" s="15" t="s">
        <v>213</v>
      </c>
      <c r="I68" s="15">
        <v>1</v>
      </c>
    </row>
    <row r="69" spans="1:9" x14ac:dyDescent="0.55000000000000004">
      <c r="A69" s="15" t="str">
        <f>Table3[[#This Row],[Name (generated)]]</f>
        <v xml:space="preserve">A68 </v>
      </c>
      <c r="C69" s="15">
        <f>Table3[[#This Row],[Sequence]]</f>
        <v>0</v>
      </c>
      <c r="E69" s="15">
        <v>2.5000000000000001E-2</v>
      </c>
      <c r="F69" s="15" t="s">
        <v>214</v>
      </c>
      <c r="G69" s="15" t="s">
        <v>213</v>
      </c>
      <c r="I69" s="15">
        <v>1</v>
      </c>
    </row>
    <row r="70" spans="1:9" x14ac:dyDescent="0.55000000000000004">
      <c r="A70" s="15" t="str">
        <f>Table3[[#This Row],[Name (generated)]]</f>
        <v xml:space="preserve">A69 </v>
      </c>
      <c r="C70" s="15">
        <f>Table3[[#This Row],[Sequence]]</f>
        <v>0</v>
      </c>
      <c r="E70" s="15">
        <v>2.5000000000000001E-2</v>
      </c>
      <c r="F70" s="15" t="s">
        <v>214</v>
      </c>
      <c r="G70" s="15" t="s">
        <v>213</v>
      </c>
      <c r="I70" s="15">
        <v>1</v>
      </c>
    </row>
    <row r="71" spans="1:9" x14ac:dyDescent="0.55000000000000004">
      <c r="A71" s="15" t="str">
        <f>Table3[[#This Row],[Name (generated)]]</f>
        <v xml:space="preserve">A70 </v>
      </c>
      <c r="C71" s="15">
        <f>Table3[[#This Row],[Sequence]]</f>
        <v>0</v>
      </c>
      <c r="E71" s="15">
        <v>2.5000000000000001E-2</v>
      </c>
      <c r="F71" s="15" t="s">
        <v>214</v>
      </c>
      <c r="G71" s="15" t="s">
        <v>213</v>
      </c>
      <c r="I71" s="15">
        <v>1</v>
      </c>
    </row>
    <row r="72" spans="1:9" x14ac:dyDescent="0.55000000000000004">
      <c r="A72" s="15" t="str">
        <f>Table3[[#This Row],[Name (generated)]]</f>
        <v xml:space="preserve">A71 </v>
      </c>
      <c r="C72" s="15">
        <f>Table3[[#This Row],[Sequence]]</f>
        <v>0</v>
      </c>
      <c r="E72" s="15">
        <v>2.5000000000000001E-2</v>
      </c>
      <c r="F72" s="15" t="s">
        <v>214</v>
      </c>
      <c r="G72" s="15" t="s">
        <v>213</v>
      </c>
      <c r="I72" s="15">
        <v>1</v>
      </c>
    </row>
    <row r="73" spans="1:9" x14ac:dyDescent="0.55000000000000004">
      <c r="A73" s="15" t="str">
        <f>Table3[[#This Row],[Name (generated)]]</f>
        <v xml:space="preserve">A72 </v>
      </c>
      <c r="C73" s="15">
        <f>Table3[[#This Row],[Sequence]]</f>
        <v>0</v>
      </c>
      <c r="E73" s="15">
        <v>2.5000000000000001E-2</v>
      </c>
      <c r="F73" s="15" t="s">
        <v>214</v>
      </c>
      <c r="G73" s="15" t="s">
        <v>213</v>
      </c>
      <c r="I73" s="15">
        <v>1</v>
      </c>
    </row>
    <row r="74" spans="1:9" x14ac:dyDescent="0.55000000000000004">
      <c r="A74" s="15" t="str">
        <f>Table3[[#This Row],[Name (generated)]]</f>
        <v xml:space="preserve">A73 </v>
      </c>
      <c r="C74" s="15">
        <f>Table3[[#This Row],[Sequence]]</f>
        <v>0</v>
      </c>
      <c r="E74" s="15">
        <v>2.5000000000000001E-2</v>
      </c>
      <c r="F74" s="15" t="s">
        <v>214</v>
      </c>
      <c r="G74" s="15" t="s">
        <v>213</v>
      </c>
      <c r="I74" s="15">
        <v>1</v>
      </c>
    </row>
    <row r="75" spans="1:9" x14ac:dyDescent="0.55000000000000004">
      <c r="A75" s="15" t="str">
        <f>Table3[[#This Row],[Name (generated)]]</f>
        <v xml:space="preserve">A74 </v>
      </c>
      <c r="C75" s="15">
        <f>Table3[[#This Row],[Sequence]]</f>
        <v>0</v>
      </c>
      <c r="E75" s="15">
        <v>2.5000000000000001E-2</v>
      </c>
      <c r="F75" s="15" t="s">
        <v>214</v>
      </c>
      <c r="G75" s="15" t="s">
        <v>213</v>
      </c>
      <c r="I75" s="15">
        <v>1</v>
      </c>
    </row>
    <row r="76" spans="1:9" x14ac:dyDescent="0.55000000000000004">
      <c r="A76" s="15" t="str">
        <f>Table3[[#This Row],[Name (generated)]]</f>
        <v xml:space="preserve">A75 </v>
      </c>
      <c r="C76" s="15">
        <f>Table3[[#This Row],[Sequence]]</f>
        <v>0</v>
      </c>
      <c r="E76" s="15">
        <v>2.5000000000000001E-2</v>
      </c>
      <c r="F76" s="15" t="s">
        <v>214</v>
      </c>
      <c r="G76" s="15" t="s">
        <v>213</v>
      </c>
      <c r="I76" s="15">
        <v>1</v>
      </c>
    </row>
    <row r="77" spans="1:9" x14ac:dyDescent="0.55000000000000004">
      <c r="A77" s="15" t="str">
        <f>Table3[[#This Row],[Name (generated)]]</f>
        <v xml:space="preserve">A76 </v>
      </c>
      <c r="C77" s="15">
        <f>Table3[[#This Row],[Sequence]]</f>
        <v>0</v>
      </c>
      <c r="E77" s="15">
        <v>2.5000000000000001E-2</v>
      </c>
      <c r="F77" s="15" t="s">
        <v>214</v>
      </c>
      <c r="G77" s="15" t="s">
        <v>213</v>
      </c>
      <c r="I77" s="15">
        <v>1</v>
      </c>
    </row>
    <row r="78" spans="1:9" x14ac:dyDescent="0.55000000000000004">
      <c r="A78" s="15" t="str">
        <f>Table3[[#This Row],[Name (generated)]]</f>
        <v xml:space="preserve">A77 </v>
      </c>
      <c r="C78" s="15">
        <f>Table3[[#This Row],[Sequence]]</f>
        <v>0</v>
      </c>
      <c r="E78" s="15">
        <v>2.5000000000000001E-2</v>
      </c>
      <c r="F78" s="15" t="s">
        <v>214</v>
      </c>
      <c r="G78" s="15" t="s">
        <v>213</v>
      </c>
      <c r="I78" s="15">
        <v>1</v>
      </c>
    </row>
    <row r="79" spans="1:9" x14ac:dyDescent="0.55000000000000004">
      <c r="A79" s="15" t="str">
        <f>Table3[[#This Row],[Name (generated)]]</f>
        <v xml:space="preserve">A78 </v>
      </c>
      <c r="C79" s="15">
        <f>Table3[[#This Row],[Sequence]]</f>
        <v>0</v>
      </c>
      <c r="E79" s="15">
        <v>2.5000000000000001E-2</v>
      </c>
      <c r="F79" s="15" t="s">
        <v>214</v>
      </c>
      <c r="G79" s="15" t="s">
        <v>213</v>
      </c>
      <c r="I79" s="15">
        <v>1</v>
      </c>
    </row>
    <row r="80" spans="1:9" x14ac:dyDescent="0.55000000000000004">
      <c r="A80" s="15" t="str">
        <f>Table3[[#This Row],[Name (generated)]]</f>
        <v xml:space="preserve">A79 </v>
      </c>
      <c r="C80" s="15">
        <f>Table3[[#This Row],[Sequence]]</f>
        <v>0</v>
      </c>
      <c r="E80" s="15">
        <v>2.5000000000000001E-2</v>
      </c>
      <c r="F80" s="15" t="s">
        <v>214</v>
      </c>
      <c r="G80" s="15" t="s">
        <v>213</v>
      </c>
      <c r="I80" s="15">
        <v>1</v>
      </c>
    </row>
    <row r="81" spans="1:9" x14ac:dyDescent="0.55000000000000004">
      <c r="A81" s="15" t="str">
        <f>Table3[[#This Row],[Name (generated)]]</f>
        <v xml:space="preserve">A80 </v>
      </c>
      <c r="C81" s="15">
        <f>Table3[[#This Row],[Sequence]]</f>
        <v>0</v>
      </c>
      <c r="E81" s="15">
        <v>2.5000000000000001E-2</v>
      </c>
      <c r="F81" s="15" t="s">
        <v>214</v>
      </c>
      <c r="G81" s="15" t="s">
        <v>213</v>
      </c>
      <c r="I81" s="15">
        <v>1</v>
      </c>
    </row>
    <row r="82" spans="1:9" x14ac:dyDescent="0.55000000000000004">
      <c r="A82" s="15" t="str">
        <f>Table3[[#This Row],[Name (generated)]]</f>
        <v xml:space="preserve">A81 </v>
      </c>
      <c r="C82" s="15">
        <f>Table3[[#This Row],[Sequence]]</f>
        <v>0</v>
      </c>
      <c r="E82" s="15">
        <v>2.5000000000000001E-2</v>
      </c>
      <c r="F82" s="15" t="s">
        <v>214</v>
      </c>
      <c r="G82" s="15" t="s">
        <v>213</v>
      </c>
      <c r="I82" s="15">
        <v>1</v>
      </c>
    </row>
    <row r="83" spans="1:9" x14ac:dyDescent="0.55000000000000004">
      <c r="A83" s="15" t="str">
        <f>Table3[[#This Row],[Name (generated)]]</f>
        <v xml:space="preserve">B01 </v>
      </c>
      <c r="C83" s="15">
        <f>Table3[[#This Row],[Sequence]]</f>
        <v>0</v>
      </c>
      <c r="E83" s="15">
        <v>2.5000000000000001E-2</v>
      </c>
      <c r="F83" s="15" t="s">
        <v>214</v>
      </c>
      <c r="G83" s="15" t="s">
        <v>213</v>
      </c>
      <c r="I83" s="15">
        <v>1</v>
      </c>
    </row>
    <row r="84" spans="1:9" x14ac:dyDescent="0.55000000000000004">
      <c r="A84" s="15" t="str">
        <f>Table3[[#This Row],[Name (generated)]]</f>
        <v xml:space="preserve">B02 </v>
      </c>
      <c r="C84" s="15">
        <f>Table3[[#This Row],[Sequence]]</f>
        <v>0</v>
      </c>
      <c r="E84" s="15">
        <v>2.5000000000000001E-2</v>
      </c>
      <c r="F84" s="15" t="s">
        <v>214</v>
      </c>
      <c r="G84" s="15" t="s">
        <v>213</v>
      </c>
      <c r="I84" s="15">
        <v>1</v>
      </c>
    </row>
    <row r="85" spans="1:9" x14ac:dyDescent="0.55000000000000004">
      <c r="A85" s="15" t="str">
        <f>Table3[[#This Row],[Name (generated)]]</f>
        <v xml:space="preserve">B03 </v>
      </c>
      <c r="C85" s="15">
        <f>Table3[[#This Row],[Sequence]]</f>
        <v>0</v>
      </c>
      <c r="E85" s="15">
        <v>2.5000000000000001E-2</v>
      </c>
      <c r="F85" s="15" t="s">
        <v>214</v>
      </c>
      <c r="G85" s="15" t="s">
        <v>213</v>
      </c>
      <c r="I85" s="15">
        <v>1</v>
      </c>
    </row>
    <row r="86" spans="1:9" x14ac:dyDescent="0.55000000000000004">
      <c r="A86" s="15" t="str">
        <f>Table3[[#This Row],[Name (generated)]]</f>
        <v xml:space="preserve">B04 </v>
      </c>
      <c r="C86" s="15">
        <f>Table3[[#This Row],[Sequence]]</f>
        <v>0</v>
      </c>
      <c r="E86" s="15">
        <v>2.5000000000000001E-2</v>
      </c>
      <c r="F86" s="15" t="s">
        <v>214</v>
      </c>
      <c r="G86" s="15" t="s">
        <v>213</v>
      </c>
      <c r="I86" s="15">
        <v>1</v>
      </c>
    </row>
    <row r="87" spans="1:9" x14ac:dyDescent="0.55000000000000004">
      <c r="A87" s="15" t="str">
        <f>Table3[[#This Row],[Name (generated)]]</f>
        <v xml:space="preserve">B05 </v>
      </c>
      <c r="C87" s="15">
        <f>Table3[[#This Row],[Sequence]]</f>
        <v>0</v>
      </c>
      <c r="E87" s="15">
        <v>2.5000000000000001E-2</v>
      </c>
      <c r="F87" s="15" t="s">
        <v>214</v>
      </c>
      <c r="G87" s="15" t="s">
        <v>213</v>
      </c>
      <c r="I87" s="15">
        <v>1</v>
      </c>
    </row>
    <row r="88" spans="1:9" x14ac:dyDescent="0.55000000000000004">
      <c r="A88" s="15" t="str">
        <f>Table3[[#This Row],[Name (generated)]]</f>
        <v xml:space="preserve">B06 </v>
      </c>
      <c r="C88" s="15">
        <f>Table3[[#This Row],[Sequence]]</f>
        <v>0</v>
      </c>
      <c r="E88" s="15">
        <v>2.5000000000000001E-2</v>
      </c>
      <c r="F88" s="15" t="s">
        <v>214</v>
      </c>
      <c r="G88" s="15" t="s">
        <v>213</v>
      </c>
      <c r="I88" s="15">
        <v>1</v>
      </c>
    </row>
    <row r="89" spans="1:9" x14ac:dyDescent="0.55000000000000004">
      <c r="A89" s="15" t="str">
        <f>Table3[[#This Row],[Name (generated)]]</f>
        <v xml:space="preserve">B07 </v>
      </c>
      <c r="C89" s="15">
        <f>Table3[[#This Row],[Sequence]]</f>
        <v>0</v>
      </c>
      <c r="E89" s="15">
        <v>2.5000000000000001E-2</v>
      </c>
      <c r="F89" s="15" t="s">
        <v>214</v>
      </c>
      <c r="G89" s="15" t="s">
        <v>213</v>
      </c>
      <c r="I89" s="15">
        <v>1</v>
      </c>
    </row>
    <row r="90" spans="1:9" x14ac:dyDescent="0.55000000000000004">
      <c r="A90" s="15" t="str">
        <f>Table3[[#This Row],[Name (generated)]]</f>
        <v xml:space="preserve">B08 </v>
      </c>
      <c r="C90" s="15">
        <f>Table3[[#This Row],[Sequence]]</f>
        <v>0</v>
      </c>
      <c r="E90" s="15">
        <v>2.5000000000000001E-2</v>
      </c>
      <c r="F90" s="15" t="s">
        <v>214</v>
      </c>
      <c r="G90" s="15" t="s">
        <v>213</v>
      </c>
      <c r="I90" s="15">
        <v>1</v>
      </c>
    </row>
    <row r="91" spans="1:9" x14ac:dyDescent="0.55000000000000004">
      <c r="A91" s="15" t="str">
        <f>Table3[[#This Row],[Name (generated)]]</f>
        <v xml:space="preserve">B09 </v>
      </c>
      <c r="C91" s="15">
        <f>Table3[[#This Row],[Sequence]]</f>
        <v>0</v>
      </c>
      <c r="E91" s="15">
        <v>2.5000000000000001E-2</v>
      </c>
      <c r="F91" s="15" t="s">
        <v>214</v>
      </c>
      <c r="G91" s="15" t="s">
        <v>213</v>
      </c>
      <c r="I91" s="15">
        <v>1</v>
      </c>
    </row>
    <row r="92" spans="1:9" x14ac:dyDescent="0.55000000000000004">
      <c r="A92" s="15" t="str">
        <f>Table3[[#This Row],[Name (generated)]]</f>
        <v xml:space="preserve">B10 </v>
      </c>
      <c r="C92" s="15">
        <f>Table3[[#This Row],[Sequence]]</f>
        <v>0</v>
      </c>
      <c r="E92" s="15">
        <v>2.5000000000000001E-2</v>
      </c>
      <c r="F92" s="15" t="s">
        <v>214</v>
      </c>
      <c r="G92" s="15" t="s">
        <v>213</v>
      </c>
      <c r="I92" s="15">
        <v>1</v>
      </c>
    </row>
    <row r="93" spans="1:9" x14ac:dyDescent="0.55000000000000004">
      <c r="A93" s="15" t="str">
        <f>Table3[[#This Row],[Name (generated)]]</f>
        <v xml:space="preserve">B11 </v>
      </c>
      <c r="C93" s="15">
        <f>Table3[[#This Row],[Sequence]]</f>
        <v>0</v>
      </c>
      <c r="E93" s="15">
        <v>2.5000000000000001E-2</v>
      </c>
      <c r="F93" s="15" t="s">
        <v>214</v>
      </c>
      <c r="G93" s="15" t="s">
        <v>213</v>
      </c>
      <c r="I93" s="15">
        <v>1</v>
      </c>
    </row>
    <row r="94" spans="1:9" x14ac:dyDescent="0.55000000000000004">
      <c r="A94" s="15" t="str">
        <f>Table3[[#This Row],[Name (generated)]]</f>
        <v xml:space="preserve">B12 </v>
      </c>
      <c r="C94" s="15">
        <f>Table3[[#This Row],[Sequence]]</f>
        <v>0</v>
      </c>
      <c r="E94" s="15">
        <v>2.5000000000000001E-2</v>
      </c>
      <c r="F94" s="15" t="s">
        <v>214</v>
      </c>
      <c r="G94" s="15" t="s">
        <v>213</v>
      </c>
      <c r="I94" s="15">
        <v>1</v>
      </c>
    </row>
    <row r="95" spans="1:9" x14ac:dyDescent="0.55000000000000004">
      <c r="A95" s="15" t="str">
        <f>Table3[[#This Row],[Name (generated)]]</f>
        <v xml:space="preserve">B13 </v>
      </c>
      <c r="C95" s="15">
        <f>Table3[[#This Row],[Sequence]]</f>
        <v>0</v>
      </c>
      <c r="E95" s="15">
        <v>2.5000000000000001E-2</v>
      </c>
      <c r="F95" s="15" t="s">
        <v>214</v>
      </c>
      <c r="G95" s="15" t="s">
        <v>213</v>
      </c>
      <c r="I95" s="15">
        <v>1</v>
      </c>
    </row>
    <row r="96" spans="1:9" x14ac:dyDescent="0.55000000000000004">
      <c r="A96" s="15" t="str">
        <f>Table3[[#This Row],[Name (generated)]]</f>
        <v xml:space="preserve">B14 </v>
      </c>
      <c r="C96" s="15">
        <f>Table3[[#This Row],[Sequence]]</f>
        <v>0</v>
      </c>
      <c r="E96" s="15">
        <v>2.5000000000000001E-2</v>
      </c>
      <c r="F96" s="15" t="s">
        <v>214</v>
      </c>
      <c r="G96" s="15" t="s">
        <v>213</v>
      </c>
      <c r="I96" s="15">
        <v>1</v>
      </c>
    </row>
    <row r="97" spans="1:9" x14ac:dyDescent="0.55000000000000004">
      <c r="A97" s="15" t="str">
        <f>Table3[[#This Row],[Name (generated)]]</f>
        <v xml:space="preserve">B15 </v>
      </c>
      <c r="C97" s="15">
        <f>Table3[[#This Row],[Sequence]]</f>
        <v>0</v>
      </c>
      <c r="E97" s="15">
        <v>2.5000000000000001E-2</v>
      </c>
      <c r="F97" s="15" t="s">
        <v>214</v>
      </c>
      <c r="G97" s="15" t="s">
        <v>213</v>
      </c>
      <c r="I97" s="15">
        <v>1</v>
      </c>
    </row>
    <row r="98" spans="1:9" x14ac:dyDescent="0.55000000000000004">
      <c r="A98" s="15" t="str">
        <f>Table3[[#This Row],[Name (generated)]]</f>
        <v xml:space="preserve">B16 </v>
      </c>
      <c r="C98" s="15">
        <f>Table3[[#This Row],[Sequence]]</f>
        <v>0</v>
      </c>
      <c r="E98" s="15">
        <v>2.5000000000000001E-2</v>
      </c>
      <c r="F98" s="15" t="s">
        <v>214</v>
      </c>
      <c r="G98" s="15" t="s">
        <v>213</v>
      </c>
      <c r="I98" s="15">
        <v>1</v>
      </c>
    </row>
    <row r="99" spans="1:9" x14ac:dyDescent="0.55000000000000004">
      <c r="A99" s="15" t="str">
        <f>Table3[[#This Row],[Name (generated)]]</f>
        <v xml:space="preserve">B17 </v>
      </c>
      <c r="C99" s="15">
        <f>Table3[[#This Row],[Sequence]]</f>
        <v>0</v>
      </c>
      <c r="E99" s="15">
        <v>2.5000000000000001E-2</v>
      </c>
      <c r="F99" s="15" t="s">
        <v>214</v>
      </c>
      <c r="G99" s="15" t="s">
        <v>213</v>
      </c>
      <c r="I99" s="15">
        <v>1</v>
      </c>
    </row>
    <row r="100" spans="1:9" x14ac:dyDescent="0.55000000000000004">
      <c r="A100" s="15" t="str">
        <f>Table3[[#This Row],[Name (generated)]]</f>
        <v xml:space="preserve">B18 </v>
      </c>
      <c r="C100" s="15">
        <f>Table3[[#This Row],[Sequence]]</f>
        <v>0</v>
      </c>
      <c r="E100" s="15">
        <v>2.5000000000000001E-2</v>
      </c>
      <c r="F100" s="15" t="s">
        <v>214</v>
      </c>
      <c r="G100" s="15" t="s">
        <v>213</v>
      </c>
      <c r="I100" s="15">
        <v>1</v>
      </c>
    </row>
    <row r="101" spans="1:9" x14ac:dyDescent="0.55000000000000004">
      <c r="A101" s="15" t="str">
        <f>Table3[[#This Row],[Name (generated)]]</f>
        <v xml:space="preserve">B19 </v>
      </c>
      <c r="C101" s="15">
        <f>Table3[[#This Row],[Sequence]]</f>
        <v>0</v>
      </c>
      <c r="E101" s="15">
        <v>2.5000000000000001E-2</v>
      </c>
      <c r="F101" s="15" t="s">
        <v>214</v>
      </c>
      <c r="G101" s="15" t="s">
        <v>213</v>
      </c>
      <c r="I101" s="15">
        <v>1</v>
      </c>
    </row>
    <row r="102" spans="1:9" x14ac:dyDescent="0.55000000000000004">
      <c r="A102" s="15" t="str">
        <f>Table3[[#This Row],[Name (generated)]]</f>
        <v xml:space="preserve">B20 </v>
      </c>
      <c r="C102" s="15">
        <f>Table3[[#This Row],[Sequence]]</f>
        <v>0</v>
      </c>
      <c r="E102" s="15">
        <v>2.5000000000000001E-2</v>
      </c>
      <c r="F102" s="15" t="s">
        <v>214</v>
      </c>
      <c r="G102" s="15" t="s">
        <v>213</v>
      </c>
      <c r="I102" s="15">
        <v>1</v>
      </c>
    </row>
    <row r="103" spans="1:9" x14ac:dyDescent="0.55000000000000004">
      <c r="A103" s="15" t="str">
        <f>Table3[[#This Row],[Name (generated)]]</f>
        <v xml:space="preserve">B21 </v>
      </c>
      <c r="C103" s="15">
        <f>Table3[[#This Row],[Sequence]]</f>
        <v>0</v>
      </c>
      <c r="E103" s="15">
        <v>2.5000000000000001E-2</v>
      </c>
      <c r="F103" s="15" t="s">
        <v>214</v>
      </c>
      <c r="G103" s="15" t="s">
        <v>213</v>
      </c>
      <c r="I103" s="15">
        <v>1</v>
      </c>
    </row>
    <row r="104" spans="1:9" x14ac:dyDescent="0.55000000000000004">
      <c r="A104" s="15" t="str">
        <f>Table3[[#This Row],[Name (generated)]]</f>
        <v xml:space="preserve">B22 </v>
      </c>
      <c r="C104" s="15">
        <f>Table3[[#This Row],[Sequence]]</f>
        <v>0</v>
      </c>
      <c r="E104" s="15">
        <v>2.5000000000000001E-2</v>
      </c>
      <c r="F104" s="15" t="s">
        <v>214</v>
      </c>
      <c r="G104" s="15" t="s">
        <v>213</v>
      </c>
      <c r="I104" s="15">
        <v>1</v>
      </c>
    </row>
    <row r="105" spans="1:9" x14ac:dyDescent="0.55000000000000004">
      <c r="A105" s="15" t="str">
        <f>Table3[[#This Row],[Name (generated)]]</f>
        <v xml:space="preserve">B23 </v>
      </c>
      <c r="C105" s="15">
        <f>Table3[[#This Row],[Sequence]]</f>
        <v>0</v>
      </c>
      <c r="E105" s="15">
        <v>2.5000000000000001E-2</v>
      </c>
      <c r="F105" s="15" t="s">
        <v>214</v>
      </c>
      <c r="G105" s="15" t="s">
        <v>213</v>
      </c>
      <c r="I105" s="15">
        <v>1</v>
      </c>
    </row>
    <row r="106" spans="1:9" x14ac:dyDescent="0.55000000000000004">
      <c r="A106" s="15" t="str">
        <f>Table3[[#This Row],[Name (generated)]]</f>
        <v xml:space="preserve">B24 </v>
      </c>
      <c r="C106" s="15">
        <f>Table3[[#This Row],[Sequence]]</f>
        <v>0</v>
      </c>
      <c r="E106" s="15">
        <v>2.5000000000000001E-2</v>
      </c>
      <c r="F106" s="15" t="s">
        <v>214</v>
      </c>
      <c r="G106" s="15" t="s">
        <v>213</v>
      </c>
      <c r="I106" s="15">
        <v>1</v>
      </c>
    </row>
    <row r="107" spans="1:9" x14ac:dyDescent="0.55000000000000004">
      <c r="A107" s="15" t="str">
        <f>Table3[[#This Row],[Name (generated)]]</f>
        <v xml:space="preserve">B25 </v>
      </c>
      <c r="C107" s="15">
        <f>Table3[[#This Row],[Sequence]]</f>
        <v>0</v>
      </c>
      <c r="E107" s="15">
        <v>2.5000000000000001E-2</v>
      </c>
      <c r="F107" s="15" t="s">
        <v>214</v>
      </c>
      <c r="G107" s="15" t="s">
        <v>213</v>
      </c>
      <c r="I107" s="15">
        <v>1</v>
      </c>
    </row>
    <row r="108" spans="1:9" x14ac:dyDescent="0.55000000000000004">
      <c r="A108" s="15" t="str">
        <f>Table3[[#This Row],[Name (generated)]]</f>
        <v xml:space="preserve">B26 </v>
      </c>
      <c r="C108" s="15">
        <f>Table3[[#This Row],[Sequence]]</f>
        <v>0</v>
      </c>
      <c r="E108" s="15">
        <v>2.5000000000000001E-2</v>
      </c>
      <c r="F108" s="15" t="s">
        <v>214</v>
      </c>
      <c r="G108" s="15" t="s">
        <v>213</v>
      </c>
      <c r="I108" s="15">
        <v>1</v>
      </c>
    </row>
    <row r="109" spans="1:9" x14ac:dyDescent="0.55000000000000004">
      <c r="A109" s="15" t="str">
        <f>Table3[[#This Row],[Name (generated)]]</f>
        <v xml:space="preserve">B27 </v>
      </c>
      <c r="C109" s="15">
        <f>Table3[[#This Row],[Sequence]]</f>
        <v>0</v>
      </c>
      <c r="E109" s="15">
        <v>2.5000000000000001E-2</v>
      </c>
      <c r="F109" s="15" t="s">
        <v>214</v>
      </c>
      <c r="G109" s="15" t="s">
        <v>213</v>
      </c>
      <c r="I109" s="15">
        <v>1</v>
      </c>
    </row>
    <row r="110" spans="1:9" x14ac:dyDescent="0.55000000000000004">
      <c r="A110" s="15" t="str">
        <f>Table3[[#This Row],[Name (generated)]]</f>
        <v xml:space="preserve">B28 </v>
      </c>
      <c r="C110" s="15">
        <f>Table3[[#This Row],[Sequence]]</f>
        <v>0</v>
      </c>
      <c r="E110" s="15">
        <v>2.5000000000000001E-2</v>
      </c>
      <c r="F110" s="15" t="s">
        <v>214</v>
      </c>
      <c r="G110" s="15" t="s">
        <v>213</v>
      </c>
      <c r="I110" s="15">
        <v>1</v>
      </c>
    </row>
    <row r="111" spans="1:9" x14ac:dyDescent="0.55000000000000004">
      <c r="A111" s="15" t="str">
        <f>Table3[[#This Row],[Name (generated)]]</f>
        <v xml:space="preserve">B29 </v>
      </c>
      <c r="C111" s="15">
        <f>Table3[[#This Row],[Sequence]]</f>
        <v>0</v>
      </c>
      <c r="E111" s="15">
        <v>2.5000000000000001E-2</v>
      </c>
      <c r="F111" s="15" t="s">
        <v>214</v>
      </c>
      <c r="G111" s="15" t="s">
        <v>213</v>
      </c>
      <c r="I111" s="15">
        <v>1</v>
      </c>
    </row>
    <row r="112" spans="1:9" x14ac:dyDescent="0.55000000000000004">
      <c r="A112" s="15" t="str">
        <f>Table3[[#This Row],[Name (generated)]]</f>
        <v xml:space="preserve">B30 </v>
      </c>
      <c r="C112" s="15">
        <f>Table3[[#This Row],[Sequence]]</f>
        <v>0</v>
      </c>
      <c r="E112" s="15">
        <v>2.5000000000000001E-2</v>
      </c>
      <c r="F112" s="15" t="s">
        <v>214</v>
      </c>
      <c r="G112" s="15" t="s">
        <v>213</v>
      </c>
      <c r="I112" s="15">
        <v>1</v>
      </c>
    </row>
    <row r="113" spans="1:9" x14ac:dyDescent="0.55000000000000004">
      <c r="A113" s="15" t="str">
        <f>Table3[[#This Row],[Name (generated)]]</f>
        <v xml:space="preserve">B31 </v>
      </c>
      <c r="C113" s="15">
        <f>Table3[[#This Row],[Sequence]]</f>
        <v>0</v>
      </c>
      <c r="E113" s="15">
        <v>2.5000000000000001E-2</v>
      </c>
      <c r="F113" s="15" t="s">
        <v>214</v>
      </c>
      <c r="G113" s="15" t="s">
        <v>213</v>
      </c>
      <c r="I113" s="15">
        <v>1</v>
      </c>
    </row>
    <row r="114" spans="1:9" x14ac:dyDescent="0.55000000000000004">
      <c r="A114" s="15" t="str">
        <f>Table3[[#This Row],[Name (generated)]]</f>
        <v xml:space="preserve">B32 </v>
      </c>
      <c r="C114" s="15">
        <f>Table3[[#This Row],[Sequence]]</f>
        <v>0</v>
      </c>
      <c r="E114" s="15">
        <v>2.5000000000000001E-2</v>
      </c>
      <c r="F114" s="15" t="s">
        <v>214</v>
      </c>
      <c r="G114" s="15" t="s">
        <v>213</v>
      </c>
      <c r="I114" s="15">
        <v>1</v>
      </c>
    </row>
    <row r="115" spans="1:9" x14ac:dyDescent="0.55000000000000004">
      <c r="A115" s="15" t="str">
        <f>Table3[[#This Row],[Name (generated)]]</f>
        <v xml:space="preserve">B33 </v>
      </c>
      <c r="C115" s="15">
        <f>Table3[[#This Row],[Sequence]]</f>
        <v>0</v>
      </c>
      <c r="E115" s="15">
        <v>2.5000000000000001E-2</v>
      </c>
      <c r="F115" s="15" t="s">
        <v>214</v>
      </c>
      <c r="G115" s="15" t="s">
        <v>213</v>
      </c>
      <c r="I115" s="15">
        <v>1</v>
      </c>
    </row>
    <row r="116" spans="1:9" x14ac:dyDescent="0.55000000000000004">
      <c r="A116" s="15" t="str">
        <f>Table3[[#This Row],[Name (generated)]]</f>
        <v xml:space="preserve">B34 </v>
      </c>
      <c r="C116" s="15">
        <f>Table3[[#This Row],[Sequence]]</f>
        <v>0</v>
      </c>
      <c r="E116" s="15">
        <v>2.5000000000000001E-2</v>
      </c>
      <c r="F116" s="15" t="s">
        <v>214</v>
      </c>
      <c r="G116" s="15" t="s">
        <v>213</v>
      </c>
      <c r="I116" s="15">
        <v>1</v>
      </c>
    </row>
    <row r="117" spans="1:9" x14ac:dyDescent="0.55000000000000004">
      <c r="A117" s="15" t="str">
        <f>Table3[[#This Row],[Name (generated)]]</f>
        <v xml:space="preserve">B35 </v>
      </c>
      <c r="C117" s="15">
        <f>Table3[[#This Row],[Sequence]]</f>
        <v>0</v>
      </c>
      <c r="E117" s="15">
        <v>2.5000000000000001E-2</v>
      </c>
      <c r="F117" s="15" t="s">
        <v>214</v>
      </c>
      <c r="G117" s="15" t="s">
        <v>213</v>
      </c>
      <c r="I117" s="15">
        <v>1</v>
      </c>
    </row>
    <row r="118" spans="1:9" x14ac:dyDescent="0.55000000000000004">
      <c r="A118" s="15" t="str">
        <f>Table3[[#This Row],[Name (generated)]]</f>
        <v xml:space="preserve">B36 </v>
      </c>
      <c r="C118" s="15">
        <f>Table3[[#This Row],[Sequence]]</f>
        <v>0</v>
      </c>
      <c r="E118" s="15">
        <v>2.5000000000000001E-2</v>
      </c>
      <c r="F118" s="15" t="s">
        <v>214</v>
      </c>
      <c r="G118" s="15" t="s">
        <v>213</v>
      </c>
      <c r="I118" s="15">
        <v>1</v>
      </c>
    </row>
    <row r="119" spans="1:9" x14ac:dyDescent="0.55000000000000004">
      <c r="A119" s="15" t="str">
        <f>Table3[[#This Row],[Name (generated)]]</f>
        <v xml:space="preserve">B37 </v>
      </c>
      <c r="C119" s="15">
        <f>Table3[[#This Row],[Sequence]]</f>
        <v>0</v>
      </c>
      <c r="E119" s="15">
        <v>2.5000000000000001E-2</v>
      </c>
      <c r="F119" s="15" t="s">
        <v>214</v>
      </c>
      <c r="G119" s="15" t="s">
        <v>213</v>
      </c>
      <c r="I119" s="15">
        <v>1</v>
      </c>
    </row>
    <row r="120" spans="1:9" x14ac:dyDescent="0.55000000000000004">
      <c r="A120" s="15" t="str">
        <f>Table3[[#This Row],[Name (generated)]]</f>
        <v xml:space="preserve">B38 </v>
      </c>
      <c r="C120" s="15">
        <f>Table3[[#This Row],[Sequence]]</f>
        <v>0</v>
      </c>
      <c r="E120" s="15">
        <v>2.5000000000000001E-2</v>
      </c>
      <c r="F120" s="15" t="s">
        <v>214</v>
      </c>
      <c r="G120" s="15" t="s">
        <v>213</v>
      </c>
      <c r="I120" s="15">
        <v>1</v>
      </c>
    </row>
    <row r="121" spans="1:9" x14ac:dyDescent="0.55000000000000004">
      <c r="A121" s="15" t="str">
        <f>Table3[[#This Row],[Name (generated)]]</f>
        <v xml:space="preserve">B39 </v>
      </c>
      <c r="C121" s="15">
        <f>Table3[[#This Row],[Sequence]]</f>
        <v>0</v>
      </c>
      <c r="E121" s="15">
        <v>2.5000000000000001E-2</v>
      </c>
      <c r="F121" s="15" t="s">
        <v>214</v>
      </c>
      <c r="G121" s="15" t="s">
        <v>213</v>
      </c>
      <c r="I121" s="15">
        <v>1</v>
      </c>
    </row>
    <row r="122" spans="1:9" x14ac:dyDescent="0.55000000000000004">
      <c r="A122" s="15" t="str">
        <f>Table3[[#This Row],[Name (generated)]]</f>
        <v xml:space="preserve">B40 </v>
      </c>
      <c r="C122" s="15">
        <f>Table3[[#This Row],[Sequence]]</f>
        <v>0</v>
      </c>
      <c r="E122" s="15">
        <v>2.5000000000000001E-2</v>
      </c>
      <c r="F122" s="15" t="s">
        <v>214</v>
      </c>
      <c r="G122" s="15" t="s">
        <v>213</v>
      </c>
      <c r="I122" s="15">
        <v>1</v>
      </c>
    </row>
    <row r="123" spans="1:9" x14ac:dyDescent="0.55000000000000004">
      <c r="A123" s="15" t="str">
        <f>Table3[[#This Row],[Name (generated)]]</f>
        <v xml:space="preserve">B41 </v>
      </c>
      <c r="C123" s="15">
        <f>Table3[[#This Row],[Sequence]]</f>
        <v>0</v>
      </c>
      <c r="E123" s="15">
        <v>2.5000000000000001E-2</v>
      </c>
      <c r="F123" s="15" t="s">
        <v>214</v>
      </c>
      <c r="G123" s="15" t="s">
        <v>213</v>
      </c>
      <c r="I123" s="15">
        <v>1</v>
      </c>
    </row>
    <row r="124" spans="1:9" x14ac:dyDescent="0.55000000000000004">
      <c r="A124" s="15" t="str">
        <f>Table3[[#This Row],[Name (generated)]]</f>
        <v xml:space="preserve">B42 </v>
      </c>
      <c r="C124" s="15">
        <f>Table3[[#This Row],[Sequence]]</f>
        <v>0</v>
      </c>
      <c r="E124" s="15">
        <v>2.5000000000000001E-2</v>
      </c>
      <c r="F124" s="15" t="s">
        <v>214</v>
      </c>
      <c r="G124" s="15" t="s">
        <v>213</v>
      </c>
      <c r="I124" s="15">
        <v>1</v>
      </c>
    </row>
    <row r="125" spans="1:9" x14ac:dyDescent="0.55000000000000004">
      <c r="A125" s="15" t="str">
        <f>Table3[[#This Row],[Name (generated)]]</f>
        <v xml:space="preserve">B43 </v>
      </c>
      <c r="C125" s="15">
        <f>Table3[[#This Row],[Sequence]]</f>
        <v>0</v>
      </c>
      <c r="E125" s="15">
        <v>2.5000000000000001E-2</v>
      </c>
      <c r="F125" s="15" t="s">
        <v>214</v>
      </c>
      <c r="G125" s="15" t="s">
        <v>213</v>
      </c>
      <c r="I125" s="15">
        <v>1</v>
      </c>
    </row>
    <row r="126" spans="1:9" x14ac:dyDescent="0.55000000000000004">
      <c r="A126" s="15" t="str">
        <f>Table3[[#This Row],[Name (generated)]]</f>
        <v xml:space="preserve">B44 </v>
      </c>
      <c r="C126" s="15">
        <f>Table3[[#This Row],[Sequence]]</f>
        <v>0</v>
      </c>
      <c r="E126" s="15">
        <v>2.5000000000000001E-2</v>
      </c>
      <c r="F126" s="15" t="s">
        <v>214</v>
      </c>
      <c r="G126" s="15" t="s">
        <v>213</v>
      </c>
      <c r="I126" s="15">
        <v>1</v>
      </c>
    </row>
    <row r="127" spans="1:9" x14ac:dyDescent="0.55000000000000004">
      <c r="A127" s="15" t="str">
        <f>Table3[[#This Row],[Name (generated)]]</f>
        <v xml:space="preserve">B45 </v>
      </c>
      <c r="C127" s="15">
        <f>Table3[[#This Row],[Sequence]]</f>
        <v>0</v>
      </c>
      <c r="E127" s="15">
        <v>2.5000000000000001E-2</v>
      </c>
      <c r="F127" s="15" t="s">
        <v>214</v>
      </c>
      <c r="G127" s="15" t="s">
        <v>213</v>
      </c>
      <c r="I127" s="15">
        <v>1</v>
      </c>
    </row>
    <row r="128" spans="1:9" x14ac:dyDescent="0.55000000000000004">
      <c r="A128" s="15" t="str">
        <f>Table3[[#This Row],[Name (generated)]]</f>
        <v xml:space="preserve">B46 </v>
      </c>
      <c r="C128" s="15">
        <f>Table3[[#This Row],[Sequence]]</f>
        <v>0</v>
      </c>
      <c r="E128" s="15">
        <v>2.5000000000000001E-2</v>
      </c>
      <c r="F128" s="15" t="s">
        <v>214</v>
      </c>
      <c r="G128" s="15" t="s">
        <v>213</v>
      </c>
      <c r="I128" s="15">
        <v>1</v>
      </c>
    </row>
    <row r="129" spans="1:9" x14ac:dyDescent="0.55000000000000004">
      <c r="A129" s="15" t="str">
        <f>Table3[[#This Row],[Name (generated)]]</f>
        <v xml:space="preserve">B47 </v>
      </c>
      <c r="C129" s="15">
        <f>Table3[[#This Row],[Sequence]]</f>
        <v>0</v>
      </c>
      <c r="E129" s="15">
        <v>2.5000000000000001E-2</v>
      </c>
      <c r="F129" s="15" t="s">
        <v>214</v>
      </c>
      <c r="G129" s="15" t="s">
        <v>213</v>
      </c>
      <c r="I129" s="15">
        <v>1</v>
      </c>
    </row>
    <row r="130" spans="1:9" x14ac:dyDescent="0.55000000000000004">
      <c r="A130" s="15" t="str">
        <f>Table3[[#This Row],[Name (generated)]]</f>
        <v xml:space="preserve">B48 </v>
      </c>
      <c r="C130" s="15">
        <f>Table3[[#This Row],[Sequence]]</f>
        <v>0</v>
      </c>
      <c r="E130" s="15">
        <v>2.5000000000000001E-2</v>
      </c>
      <c r="F130" s="15" t="s">
        <v>214</v>
      </c>
      <c r="G130" s="15" t="s">
        <v>213</v>
      </c>
      <c r="I130" s="15">
        <v>1</v>
      </c>
    </row>
    <row r="131" spans="1:9" x14ac:dyDescent="0.55000000000000004">
      <c r="A131" s="15" t="str">
        <f>Table3[[#This Row],[Name (generated)]]</f>
        <v xml:space="preserve">B49 </v>
      </c>
      <c r="C131" s="15">
        <f>Table3[[#This Row],[Sequence]]</f>
        <v>0</v>
      </c>
      <c r="E131" s="15">
        <v>2.5000000000000001E-2</v>
      </c>
      <c r="F131" s="15" t="s">
        <v>214</v>
      </c>
      <c r="G131" s="15" t="s">
        <v>213</v>
      </c>
      <c r="I131" s="15">
        <v>1</v>
      </c>
    </row>
    <row r="132" spans="1:9" x14ac:dyDescent="0.55000000000000004">
      <c r="A132" s="15" t="str">
        <f>Table3[[#This Row],[Name (generated)]]</f>
        <v xml:space="preserve">B50 </v>
      </c>
      <c r="C132" s="15">
        <f>Table3[[#This Row],[Sequence]]</f>
        <v>0</v>
      </c>
      <c r="E132" s="15">
        <v>2.5000000000000001E-2</v>
      </c>
      <c r="F132" s="15" t="s">
        <v>214</v>
      </c>
      <c r="G132" s="15" t="s">
        <v>213</v>
      </c>
      <c r="I132" s="15">
        <v>1</v>
      </c>
    </row>
    <row r="133" spans="1:9" x14ac:dyDescent="0.55000000000000004">
      <c r="A133" s="15" t="str">
        <f>Table3[[#This Row],[Name (generated)]]</f>
        <v xml:space="preserve">B51 </v>
      </c>
      <c r="C133" s="15">
        <f>Table3[[#This Row],[Sequence]]</f>
        <v>0</v>
      </c>
      <c r="E133" s="15">
        <v>2.5000000000000001E-2</v>
      </c>
      <c r="F133" s="15" t="s">
        <v>214</v>
      </c>
      <c r="G133" s="15" t="s">
        <v>213</v>
      </c>
      <c r="I133" s="15">
        <v>1</v>
      </c>
    </row>
    <row r="134" spans="1:9" x14ac:dyDescent="0.55000000000000004">
      <c r="A134" s="15" t="str">
        <f>Table3[[#This Row],[Name (generated)]]</f>
        <v xml:space="preserve">B52 </v>
      </c>
      <c r="C134" s="15">
        <f>Table3[[#This Row],[Sequence]]</f>
        <v>0</v>
      </c>
      <c r="E134" s="15">
        <v>2.5000000000000001E-2</v>
      </c>
      <c r="F134" s="15" t="s">
        <v>214</v>
      </c>
      <c r="G134" s="15" t="s">
        <v>213</v>
      </c>
      <c r="I134" s="15">
        <v>1</v>
      </c>
    </row>
    <row r="135" spans="1:9" x14ac:dyDescent="0.55000000000000004">
      <c r="A135" s="15" t="str">
        <f>Table3[[#This Row],[Name (generated)]]</f>
        <v xml:space="preserve">B53 </v>
      </c>
      <c r="C135" s="15">
        <f>Table3[[#This Row],[Sequence]]</f>
        <v>0</v>
      </c>
      <c r="E135" s="15">
        <v>2.5000000000000001E-2</v>
      </c>
      <c r="F135" s="15" t="s">
        <v>214</v>
      </c>
      <c r="G135" s="15" t="s">
        <v>213</v>
      </c>
      <c r="I135" s="15">
        <v>1</v>
      </c>
    </row>
    <row r="136" spans="1:9" x14ac:dyDescent="0.55000000000000004">
      <c r="A136" s="15" t="str">
        <f>Table3[[#This Row],[Name (generated)]]</f>
        <v xml:space="preserve">B54 </v>
      </c>
      <c r="C136" s="15">
        <f>Table3[[#This Row],[Sequence]]</f>
        <v>0</v>
      </c>
      <c r="E136" s="15">
        <v>2.5000000000000001E-2</v>
      </c>
      <c r="F136" s="15" t="s">
        <v>214</v>
      </c>
      <c r="G136" s="15" t="s">
        <v>213</v>
      </c>
      <c r="I136" s="15">
        <v>1</v>
      </c>
    </row>
    <row r="137" spans="1:9" x14ac:dyDescent="0.55000000000000004">
      <c r="A137" s="15" t="str">
        <f>Table3[[#This Row],[Name (generated)]]</f>
        <v xml:space="preserve">B55 </v>
      </c>
      <c r="C137" s="15">
        <f>Table3[[#This Row],[Sequence]]</f>
        <v>0</v>
      </c>
      <c r="E137" s="15">
        <v>2.5000000000000001E-2</v>
      </c>
      <c r="F137" s="15" t="s">
        <v>214</v>
      </c>
      <c r="G137" s="15" t="s">
        <v>213</v>
      </c>
      <c r="I137" s="15">
        <v>1</v>
      </c>
    </row>
    <row r="138" spans="1:9" x14ac:dyDescent="0.55000000000000004">
      <c r="A138" s="15" t="str">
        <f>Table3[[#This Row],[Name (generated)]]</f>
        <v xml:space="preserve">B56 </v>
      </c>
      <c r="C138" s="15">
        <f>Table3[[#This Row],[Sequence]]</f>
        <v>0</v>
      </c>
      <c r="E138" s="15">
        <v>2.5000000000000001E-2</v>
      </c>
      <c r="F138" s="15" t="s">
        <v>214</v>
      </c>
      <c r="G138" s="15" t="s">
        <v>213</v>
      </c>
      <c r="I138" s="15">
        <v>1</v>
      </c>
    </row>
    <row r="139" spans="1:9" x14ac:dyDescent="0.55000000000000004">
      <c r="A139" s="15" t="str">
        <f>Table3[[#This Row],[Name (generated)]]</f>
        <v xml:space="preserve">B57 </v>
      </c>
      <c r="C139" s="15">
        <f>Table3[[#This Row],[Sequence]]</f>
        <v>0</v>
      </c>
      <c r="E139" s="15">
        <v>2.5000000000000001E-2</v>
      </c>
      <c r="F139" s="15" t="s">
        <v>214</v>
      </c>
      <c r="G139" s="15" t="s">
        <v>213</v>
      </c>
      <c r="I139" s="15">
        <v>1</v>
      </c>
    </row>
    <row r="140" spans="1:9" x14ac:dyDescent="0.55000000000000004">
      <c r="A140" s="15" t="str">
        <f>Table3[[#This Row],[Name (generated)]]</f>
        <v xml:space="preserve">B58 </v>
      </c>
      <c r="C140" s="15">
        <f>Table3[[#This Row],[Sequence]]</f>
        <v>0</v>
      </c>
      <c r="E140" s="15">
        <v>2.5000000000000001E-2</v>
      </c>
      <c r="F140" s="15" t="s">
        <v>214</v>
      </c>
      <c r="G140" s="15" t="s">
        <v>213</v>
      </c>
      <c r="I140" s="15">
        <v>1</v>
      </c>
    </row>
    <row r="141" spans="1:9" x14ac:dyDescent="0.55000000000000004">
      <c r="A141" s="15" t="str">
        <f>Table3[[#This Row],[Name (generated)]]</f>
        <v xml:space="preserve">B59 </v>
      </c>
      <c r="C141" s="15">
        <f>Table3[[#This Row],[Sequence]]</f>
        <v>0</v>
      </c>
      <c r="E141" s="15">
        <v>2.5000000000000001E-2</v>
      </c>
      <c r="F141" s="15" t="s">
        <v>214</v>
      </c>
      <c r="G141" s="15" t="s">
        <v>213</v>
      </c>
      <c r="I141" s="15">
        <v>1</v>
      </c>
    </row>
    <row r="142" spans="1:9" x14ac:dyDescent="0.55000000000000004">
      <c r="A142" s="15" t="str">
        <f>Table3[[#This Row],[Name (generated)]]</f>
        <v xml:space="preserve">B60 </v>
      </c>
      <c r="C142" s="15">
        <f>Table3[[#This Row],[Sequence]]</f>
        <v>0</v>
      </c>
      <c r="E142" s="15">
        <v>2.5000000000000001E-2</v>
      </c>
      <c r="F142" s="15" t="s">
        <v>214</v>
      </c>
      <c r="G142" s="15" t="s">
        <v>213</v>
      </c>
      <c r="I142" s="15">
        <v>1</v>
      </c>
    </row>
    <row r="143" spans="1:9" x14ac:dyDescent="0.55000000000000004">
      <c r="A143" s="15" t="str">
        <f>Table3[[#This Row],[Name (generated)]]</f>
        <v xml:space="preserve">B61 </v>
      </c>
      <c r="C143" s="15">
        <f>Table3[[#This Row],[Sequence]]</f>
        <v>0</v>
      </c>
      <c r="E143" s="15">
        <v>2.5000000000000001E-2</v>
      </c>
      <c r="F143" s="15" t="s">
        <v>214</v>
      </c>
      <c r="G143" s="15" t="s">
        <v>213</v>
      </c>
      <c r="I143" s="15">
        <v>1</v>
      </c>
    </row>
    <row r="144" spans="1:9" x14ac:dyDescent="0.55000000000000004">
      <c r="A144" s="15" t="str">
        <f>Table3[[#This Row],[Name (generated)]]</f>
        <v xml:space="preserve">B62 </v>
      </c>
      <c r="C144" s="15">
        <f>Table3[[#This Row],[Sequence]]</f>
        <v>0</v>
      </c>
      <c r="E144" s="15">
        <v>2.5000000000000001E-2</v>
      </c>
      <c r="F144" s="15" t="s">
        <v>214</v>
      </c>
      <c r="G144" s="15" t="s">
        <v>213</v>
      </c>
      <c r="I144" s="15">
        <v>1</v>
      </c>
    </row>
    <row r="145" spans="1:9" x14ac:dyDescent="0.55000000000000004">
      <c r="A145" s="15" t="str">
        <f>Table3[[#This Row],[Name (generated)]]</f>
        <v xml:space="preserve">B63 </v>
      </c>
      <c r="C145" s="15">
        <f>Table3[[#This Row],[Sequence]]</f>
        <v>0</v>
      </c>
      <c r="E145" s="15">
        <v>2.5000000000000001E-2</v>
      </c>
      <c r="F145" s="15" t="s">
        <v>214</v>
      </c>
      <c r="G145" s="15" t="s">
        <v>213</v>
      </c>
      <c r="I145" s="15">
        <v>1</v>
      </c>
    </row>
    <row r="146" spans="1:9" x14ac:dyDescent="0.55000000000000004">
      <c r="A146" s="15" t="str">
        <f>Table3[[#This Row],[Name (generated)]]</f>
        <v xml:space="preserve">B64 </v>
      </c>
      <c r="C146" s="15">
        <f>Table3[[#This Row],[Sequence]]</f>
        <v>0</v>
      </c>
      <c r="E146" s="15">
        <v>2.5000000000000001E-2</v>
      </c>
      <c r="F146" s="15" t="s">
        <v>214</v>
      </c>
      <c r="G146" s="15" t="s">
        <v>213</v>
      </c>
      <c r="I146" s="15">
        <v>1</v>
      </c>
    </row>
    <row r="147" spans="1:9" x14ac:dyDescent="0.55000000000000004">
      <c r="A147" s="15" t="str">
        <f>Table3[[#This Row],[Name (generated)]]</f>
        <v xml:space="preserve">B65 </v>
      </c>
      <c r="C147" s="15">
        <f>Table3[[#This Row],[Sequence]]</f>
        <v>0</v>
      </c>
      <c r="E147" s="15">
        <v>2.5000000000000001E-2</v>
      </c>
      <c r="F147" s="15" t="s">
        <v>214</v>
      </c>
      <c r="G147" s="15" t="s">
        <v>213</v>
      </c>
      <c r="I147" s="15">
        <v>1</v>
      </c>
    </row>
    <row r="148" spans="1:9" x14ac:dyDescent="0.55000000000000004">
      <c r="A148" s="15" t="str">
        <f>Table3[[#This Row],[Name (generated)]]</f>
        <v xml:space="preserve">B66 </v>
      </c>
      <c r="C148" s="15">
        <f>Table3[[#This Row],[Sequence]]</f>
        <v>0</v>
      </c>
      <c r="E148" s="15">
        <v>2.5000000000000001E-2</v>
      </c>
      <c r="F148" s="15" t="s">
        <v>214</v>
      </c>
      <c r="G148" s="15" t="s">
        <v>213</v>
      </c>
      <c r="I148" s="15">
        <v>1</v>
      </c>
    </row>
    <row r="149" spans="1:9" x14ac:dyDescent="0.55000000000000004">
      <c r="A149" s="15" t="str">
        <f>Table3[[#This Row],[Name (generated)]]</f>
        <v xml:space="preserve">B67 </v>
      </c>
      <c r="C149" s="15">
        <f>Table3[[#This Row],[Sequence]]</f>
        <v>0</v>
      </c>
      <c r="E149" s="15">
        <v>2.5000000000000001E-2</v>
      </c>
      <c r="F149" s="15" t="s">
        <v>214</v>
      </c>
      <c r="G149" s="15" t="s">
        <v>213</v>
      </c>
      <c r="I149" s="15">
        <v>1</v>
      </c>
    </row>
    <row r="150" spans="1:9" x14ac:dyDescent="0.55000000000000004">
      <c r="A150" s="15" t="str">
        <f>Table3[[#This Row],[Name (generated)]]</f>
        <v xml:space="preserve">B68 </v>
      </c>
      <c r="C150" s="15">
        <f>Table3[[#This Row],[Sequence]]</f>
        <v>0</v>
      </c>
      <c r="E150" s="15">
        <v>2.5000000000000001E-2</v>
      </c>
      <c r="F150" s="15" t="s">
        <v>214</v>
      </c>
      <c r="G150" s="15" t="s">
        <v>213</v>
      </c>
      <c r="I150" s="15">
        <v>1</v>
      </c>
    </row>
    <row r="151" spans="1:9" x14ac:dyDescent="0.55000000000000004">
      <c r="A151" s="15" t="str">
        <f>Table3[[#This Row],[Name (generated)]]</f>
        <v xml:space="preserve">B69 </v>
      </c>
      <c r="C151" s="15">
        <f>Table3[[#This Row],[Sequence]]</f>
        <v>0</v>
      </c>
      <c r="E151" s="15">
        <v>2.5000000000000001E-2</v>
      </c>
      <c r="F151" s="15" t="s">
        <v>214</v>
      </c>
      <c r="G151" s="15" t="s">
        <v>213</v>
      </c>
      <c r="I151" s="15">
        <v>1</v>
      </c>
    </row>
    <row r="152" spans="1:9" x14ac:dyDescent="0.55000000000000004">
      <c r="A152" s="15" t="str">
        <f>Table3[[#This Row],[Name (generated)]]</f>
        <v xml:space="preserve">B70 </v>
      </c>
      <c r="C152" s="15">
        <f>Table3[[#This Row],[Sequence]]</f>
        <v>0</v>
      </c>
      <c r="E152" s="15">
        <v>2.5000000000000001E-2</v>
      </c>
      <c r="F152" s="15" t="s">
        <v>214</v>
      </c>
      <c r="G152" s="15" t="s">
        <v>213</v>
      </c>
      <c r="I152" s="15">
        <v>1</v>
      </c>
    </row>
    <row r="153" spans="1:9" x14ac:dyDescent="0.55000000000000004">
      <c r="A153" s="15" t="str">
        <f>Table3[[#This Row],[Name (generated)]]</f>
        <v xml:space="preserve">B71 </v>
      </c>
      <c r="C153" s="15">
        <f>Table3[[#This Row],[Sequence]]</f>
        <v>0</v>
      </c>
      <c r="E153" s="15">
        <v>2.5000000000000001E-2</v>
      </c>
      <c r="F153" s="15" t="s">
        <v>214</v>
      </c>
      <c r="G153" s="15" t="s">
        <v>213</v>
      </c>
      <c r="I153" s="15">
        <v>1</v>
      </c>
    </row>
    <row r="154" spans="1:9" x14ac:dyDescent="0.55000000000000004">
      <c r="A154" s="15" t="str">
        <f>Table3[[#This Row],[Name (generated)]]</f>
        <v xml:space="preserve">B72 </v>
      </c>
      <c r="C154" s="15">
        <f>Table3[[#This Row],[Sequence]]</f>
        <v>0</v>
      </c>
      <c r="E154" s="15">
        <v>2.5000000000000001E-2</v>
      </c>
      <c r="F154" s="15" t="s">
        <v>214</v>
      </c>
      <c r="G154" s="15" t="s">
        <v>213</v>
      </c>
      <c r="I154" s="15">
        <v>1</v>
      </c>
    </row>
    <row r="155" spans="1:9" x14ac:dyDescent="0.55000000000000004">
      <c r="A155" s="15" t="str">
        <f>Table3[[#This Row],[Name (generated)]]</f>
        <v xml:space="preserve">B73 </v>
      </c>
      <c r="C155" s="15">
        <f>Table3[[#This Row],[Sequence]]</f>
        <v>0</v>
      </c>
      <c r="E155" s="15">
        <v>2.5000000000000001E-2</v>
      </c>
      <c r="F155" s="15" t="s">
        <v>214</v>
      </c>
      <c r="G155" s="15" t="s">
        <v>213</v>
      </c>
      <c r="I155" s="15">
        <v>1</v>
      </c>
    </row>
    <row r="156" spans="1:9" x14ac:dyDescent="0.55000000000000004">
      <c r="A156" s="15" t="str">
        <f>Table3[[#This Row],[Name (generated)]]</f>
        <v xml:space="preserve">B74 </v>
      </c>
      <c r="C156" s="15">
        <f>Table3[[#This Row],[Sequence]]</f>
        <v>0</v>
      </c>
      <c r="E156" s="15">
        <v>2.5000000000000001E-2</v>
      </c>
      <c r="F156" s="15" t="s">
        <v>214</v>
      </c>
      <c r="G156" s="15" t="s">
        <v>213</v>
      </c>
      <c r="I156" s="15">
        <v>1</v>
      </c>
    </row>
    <row r="157" spans="1:9" x14ac:dyDescent="0.55000000000000004">
      <c r="A157" s="15" t="str">
        <f>Table3[[#This Row],[Name (generated)]]</f>
        <v xml:space="preserve">B75 </v>
      </c>
      <c r="C157" s="15">
        <f>Table3[[#This Row],[Sequence]]</f>
        <v>0</v>
      </c>
      <c r="E157" s="15">
        <v>2.5000000000000001E-2</v>
      </c>
      <c r="F157" s="15" t="s">
        <v>214</v>
      </c>
      <c r="G157" s="15" t="s">
        <v>213</v>
      </c>
      <c r="I157" s="15">
        <v>1</v>
      </c>
    </row>
    <row r="158" spans="1:9" x14ac:dyDescent="0.55000000000000004">
      <c r="A158" s="15" t="str">
        <f>Table3[[#This Row],[Name (generated)]]</f>
        <v xml:space="preserve">B76 </v>
      </c>
      <c r="C158" s="15">
        <f>Table3[[#This Row],[Sequence]]</f>
        <v>0</v>
      </c>
      <c r="E158" s="15">
        <v>2.5000000000000001E-2</v>
      </c>
      <c r="F158" s="15" t="s">
        <v>214</v>
      </c>
      <c r="G158" s="15" t="s">
        <v>213</v>
      </c>
      <c r="I158" s="15">
        <v>1</v>
      </c>
    </row>
    <row r="159" spans="1:9" x14ac:dyDescent="0.55000000000000004">
      <c r="A159" s="15" t="str">
        <f>Table3[[#This Row],[Name (generated)]]</f>
        <v xml:space="preserve">B77 </v>
      </c>
      <c r="C159" s="15">
        <f>Table3[[#This Row],[Sequence]]</f>
        <v>0</v>
      </c>
      <c r="E159" s="15">
        <v>2.5000000000000001E-2</v>
      </c>
      <c r="F159" s="15" t="s">
        <v>214</v>
      </c>
      <c r="G159" s="15" t="s">
        <v>213</v>
      </c>
      <c r="I159" s="15">
        <v>1</v>
      </c>
    </row>
    <row r="160" spans="1:9" x14ac:dyDescent="0.55000000000000004">
      <c r="A160" s="15" t="str">
        <f>Table3[[#This Row],[Name (generated)]]</f>
        <v xml:space="preserve">B78 </v>
      </c>
      <c r="C160" s="15">
        <f>Table3[[#This Row],[Sequence]]</f>
        <v>0</v>
      </c>
      <c r="E160" s="15">
        <v>2.5000000000000001E-2</v>
      </c>
      <c r="F160" s="15" t="s">
        <v>214</v>
      </c>
      <c r="G160" s="15" t="s">
        <v>213</v>
      </c>
      <c r="I160" s="15">
        <v>1</v>
      </c>
    </row>
    <row r="161" spans="1:9" x14ac:dyDescent="0.55000000000000004">
      <c r="A161" s="15" t="str">
        <f>Table3[[#This Row],[Name (generated)]]</f>
        <v xml:space="preserve">B79 </v>
      </c>
      <c r="C161" s="15">
        <f>Table3[[#This Row],[Sequence]]</f>
        <v>0</v>
      </c>
      <c r="E161" s="15">
        <v>2.5000000000000001E-2</v>
      </c>
      <c r="F161" s="15" t="s">
        <v>214</v>
      </c>
      <c r="G161" s="15" t="s">
        <v>213</v>
      </c>
      <c r="I161" s="15">
        <v>1</v>
      </c>
    </row>
    <row r="162" spans="1:9" x14ac:dyDescent="0.55000000000000004">
      <c r="A162" s="15" t="str">
        <f>Table3[[#This Row],[Name (generated)]]</f>
        <v xml:space="preserve">B80 </v>
      </c>
      <c r="C162" s="15">
        <f>Table3[[#This Row],[Sequence]]</f>
        <v>0</v>
      </c>
      <c r="E162" s="15">
        <v>2.5000000000000001E-2</v>
      </c>
      <c r="F162" s="15" t="s">
        <v>214</v>
      </c>
      <c r="G162" s="15" t="s">
        <v>213</v>
      </c>
      <c r="I162" s="15">
        <v>1</v>
      </c>
    </row>
    <row r="163" spans="1:9" x14ac:dyDescent="0.55000000000000004">
      <c r="A163" s="15" t="str">
        <f>Table3[[#This Row],[Name (generated)]]</f>
        <v xml:space="preserve">B81 </v>
      </c>
      <c r="C163" s="15">
        <f>Table3[[#This Row],[Sequence]]</f>
        <v>0</v>
      </c>
      <c r="E163" s="15">
        <v>2.5000000000000001E-2</v>
      </c>
      <c r="F163" s="15" t="s">
        <v>214</v>
      </c>
      <c r="G163" s="15" t="s">
        <v>213</v>
      </c>
      <c r="I163" s="15">
        <v>1</v>
      </c>
    </row>
    <row r="164" spans="1:9" x14ac:dyDescent="0.55000000000000004">
      <c r="A164" s="15" t="str">
        <f>Table3[[#This Row],[Name (generated)]]</f>
        <v xml:space="preserve">C01 </v>
      </c>
      <c r="C164" s="15">
        <f>Table3[[#This Row],[Sequence]]</f>
        <v>0</v>
      </c>
      <c r="E164" s="15">
        <v>2.5000000000000001E-2</v>
      </c>
      <c r="F164" s="15" t="s">
        <v>214</v>
      </c>
      <c r="G164" s="15" t="s">
        <v>213</v>
      </c>
      <c r="I164" s="15">
        <v>1</v>
      </c>
    </row>
    <row r="165" spans="1:9" x14ac:dyDescent="0.55000000000000004">
      <c r="A165" s="15" t="str">
        <f>Table3[[#This Row],[Name (generated)]]</f>
        <v xml:space="preserve">C02 </v>
      </c>
      <c r="C165" s="15">
        <f>Table3[[#This Row],[Sequence]]</f>
        <v>0</v>
      </c>
      <c r="E165" s="15">
        <v>2.5000000000000001E-2</v>
      </c>
      <c r="F165" s="15" t="s">
        <v>214</v>
      </c>
      <c r="G165" s="15" t="s">
        <v>213</v>
      </c>
      <c r="I165" s="15">
        <v>1</v>
      </c>
    </row>
    <row r="166" spans="1:9" x14ac:dyDescent="0.55000000000000004">
      <c r="A166" s="15" t="str">
        <f>Table3[[#This Row],[Name (generated)]]</f>
        <v xml:space="preserve">C03 </v>
      </c>
      <c r="C166" s="15">
        <f>Table3[[#This Row],[Sequence]]</f>
        <v>0</v>
      </c>
      <c r="E166" s="15">
        <v>2.5000000000000001E-2</v>
      </c>
      <c r="F166" s="15" t="s">
        <v>214</v>
      </c>
      <c r="G166" s="15" t="s">
        <v>213</v>
      </c>
      <c r="I166" s="15">
        <v>1</v>
      </c>
    </row>
    <row r="167" spans="1:9" x14ac:dyDescent="0.55000000000000004">
      <c r="A167" s="15" t="str">
        <f>Table3[[#This Row],[Name (generated)]]</f>
        <v xml:space="preserve">C04 </v>
      </c>
      <c r="C167" s="15">
        <f>Table3[[#This Row],[Sequence]]</f>
        <v>0</v>
      </c>
      <c r="E167" s="15">
        <v>2.5000000000000001E-2</v>
      </c>
      <c r="F167" s="15" t="s">
        <v>214</v>
      </c>
      <c r="G167" s="15" t="s">
        <v>213</v>
      </c>
      <c r="I167" s="15">
        <v>1</v>
      </c>
    </row>
    <row r="168" spans="1:9" x14ac:dyDescent="0.55000000000000004">
      <c r="A168" s="15" t="str">
        <f>Table3[[#This Row],[Name (generated)]]</f>
        <v xml:space="preserve">C05 </v>
      </c>
      <c r="C168" s="15">
        <f>Table3[[#This Row],[Sequence]]</f>
        <v>0</v>
      </c>
      <c r="E168" s="15">
        <v>2.5000000000000001E-2</v>
      </c>
      <c r="F168" s="15" t="s">
        <v>214</v>
      </c>
      <c r="G168" s="15" t="s">
        <v>213</v>
      </c>
      <c r="I168" s="15">
        <v>1</v>
      </c>
    </row>
    <row r="169" spans="1:9" x14ac:dyDescent="0.55000000000000004">
      <c r="A169" s="15" t="str">
        <f>Table3[[#This Row],[Name (generated)]]</f>
        <v xml:space="preserve">C06 </v>
      </c>
      <c r="C169" s="15">
        <f>Table3[[#This Row],[Sequence]]</f>
        <v>0</v>
      </c>
      <c r="E169" s="15">
        <v>2.5000000000000001E-2</v>
      </c>
      <c r="F169" s="15" t="s">
        <v>214</v>
      </c>
      <c r="G169" s="15" t="s">
        <v>213</v>
      </c>
      <c r="I169" s="15">
        <v>1</v>
      </c>
    </row>
    <row r="170" spans="1:9" x14ac:dyDescent="0.55000000000000004">
      <c r="A170" s="15" t="str">
        <f>Table3[[#This Row],[Name (generated)]]</f>
        <v xml:space="preserve">C07 </v>
      </c>
      <c r="C170" s="15">
        <f>Table3[[#This Row],[Sequence]]</f>
        <v>0</v>
      </c>
      <c r="E170" s="15">
        <v>2.5000000000000001E-2</v>
      </c>
      <c r="F170" s="15" t="s">
        <v>214</v>
      </c>
      <c r="G170" s="15" t="s">
        <v>213</v>
      </c>
      <c r="I170" s="15">
        <v>1</v>
      </c>
    </row>
    <row r="171" spans="1:9" x14ac:dyDescent="0.55000000000000004">
      <c r="A171" s="15" t="str">
        <f>Table3[[#This Row],[Name (generated)]]</f>
        <v xml:space="preserve">C08 </v>
      </c>
      <c r="C171" s="15">
        <f>Table3[[#This Row],[Sequence]]</f>
        <v>0</v>
      </c>
      <c r="E171" s="15">
        <v>2.5000000000000001E-2</v>
      </c>
      <c r="F171" s="15" t="s">
        <v>214</v>
      </c>
      <c r="G171" s="15" t="s">
        <v>213</v>
      </c>
      <c r="I171" s="15">
        <v>1</v>
      </c>
    </row>
    <row r="172" spans="1:9" x14ac:dyDescent="0.55000000000000004">
      <c r="A172" s="15" t="str">
        <f>Table3[[#This Row],[Name (generated)]]</f>
        <v xml:space="preserve">C09 </v>
      </c>
      <c r="C172" s="15">
        <f>Table3[[#This Row],[Sequence]]</f>
        <v>0</v>
      </c>
      <c r="E172" s="15">
        <v>2.5000000000000001E-2</v>
      </c>
      <c r="F172" s="15" t="s">
        <v>214</v>
      </c>
      <c r="G172" s="15" t="s">
        <v>213</v>
      </c>
      <c r="I172" s="15">
        <v>1</v>
      </c>
    </row>
    <row r="173" spans="1:9" x14ac:dyDescent="0.55000000000000004">
      <c r="A173" s="15" t="str">
        <f>Table3[[#This Row],[Name (generated)]]</f>
        <v xml:space="preserve">C10 </v>
      </c>
      <c r="C173" s="15">
        <f>Table3[[#This Row],[Sequence]]</f>
        <v>0</v>
      </c>
      <c r="E173" s="15">
        <v>2.5000000000000001E-2</v>
      </c>
      <c r="F173" s="15" t="s">
        <v>214</v>
      </c>
      <c r="G173" s="15" t="s">
        <v>213</v>
      </c>
      <c r="I173" s="15">
        <v>1</v>
      </c>
    </row>
    <row r="174" spans="1:9" x14ac:dyDescent="0.55000000000000004">
      <c r="A174" s="15" t="str">
        <f>Table3[[#This Row],[Name (generated)]]</f>
        <v xml:space="preserve">C11 </v>
      </c>
      <c r="C174" s="15">
        <f>Table3[[#This Row],[Sequence]]</f>
        <v>0</v>
      </c>
      <c r="E174" s="15">
        <v>2.5000000000000001E-2</v>
      </c>
      <c r="F174" s="15" t="s">
        <v>214</v>
      </c>
      <c r="G174" s="15" t="s">
        <v>213</v>
      </c>
      <c r="I174" s="15">
        <v>1</v>
      </c>
    </row>
    <row r="175" spans="1:9" x14ac:dyDescent="0.55000000000000004">
      <c r="A175" s="15" t="str">
        <f>Table3[[#This Row],[Name (generated)]]</f>
        <v xml:space="preserve">C12 </v>
      </c>
      <c r="C175" s="15">
        <f>Table3[[#This Row],[Sequence]]</f>
        <v>0</v>
      </c>
      <c r="E175" s="15">
        <v>2.5000000000000001E-2</v>
      </c>
      <c r="F175" s="15" t="s">
        <v>214</v>
      </c>
      <c r="G175" s="15" t="s">
        <v>213</v>
      </c>
      <c r="I175" s="15">
        <v>1</v>
      </c>
    </row>
    <row r="176" spans="1:9" x14ac:dyDescent="0.55000000000000004">
      <c r="A176" s="15" t="str">
        <f>Table3[[#This Row],[Name (generated)]]</f>
        <v xml:space="preserve">C13 </v>
      </c>
      <c r="C176" s="15">
        <f>Table3[[#This Row],[Sequence]]</f>
        <v>0</v>
      </c>
      <c r="E176" s="15">
        <v>2.5000000000000001E-2</v>
      </c>
      <c r="F176" s="15" t="s">
        <v>214</v>
      </c>
      <c r="G176" s="15" t="s">
        <v>213</v>
      </c>
      <c r="I176" s="15">
        <v>1</v>
      </c>
    </row>
    <row r="177" spans="1:9" x14ac:dyDescent="0.55000000000000004">
      <c r="A177" s="15" t="str">
        <f>Table3[[#This Row],[Name (generated)]]</f>
        <v xml:space="preserve">C14 </v>
      </c>
      <c r="C177" s="15">
        <f>Table3[[#This Row],[Sequence]]</f>
        <v>0</v>
      </c>
      <c r="E177" s="15">
        <v>2.5000000000000001E-2</v>
      </c>
      <c r="F177" s="15" t="s">
        <v>214</v>
      </c>
      <c r="G177" s="15" t="s">
        <v>213</v>
      </c>
      <c r="I177" s="15">
        <v>1</v>
      </c>
    </row>
    <row r="178" spans="1:9" x14ac:dyDescent="0.55000000000000004">
      <c r="A178" s="15" t="str">
        <f>Table3[[#This Row],[Name (generated)]]</f>
        <v xml:space="preserve">C15 </v>
      </c>
      <c r="C178" s="15">
        <f>Table3[[#This Row],[Sequence]]</f>
        <v>0</v>
      </c>
      <c r="E178" s="15">
        <v>2.5000000000000001E-2</v>
      </c>
      <c r="F178" s="15" t="s">
        <v>214</v>
      </c>
      <c r="G178" s="15" t="s">
        <v>213</v>
      </c>
      <c r="I178" s="15">
        <v>1</v>
      </c>
    </row>
    <row r="179" spans="1:9" x14ac:dyDescent="0.55000000000000004">
      <c r="A179" s="15" t="str">
        <f>Table3[[#This Row],[Name (generated)]]</f>
        <v xml:space="preserve">C16 </v>
      </c>
      <c r="C179" s="15">
        <f>Table3[[#This Row],[Sequence]]</f>
        <v>0</v>
      </c>
      <c r="E179" s="15">
        <v>2.5000000000000001E-2</v>
      </c>
      <c r="F179" s="15" t="s">
        <v>214</v>
      </c>
      <c r="G179" s="15" t="s">
        <v>213</v>
      </c>
      <c r="I179" s="15">
        <v>1</v>
      </c>
    </row>
    <row r="180" spans="1:9" x14ac:dyDescent="0.55000000000000004">
      <c r="A180" s="15" t="str">
        <f>Table3[[#This Row],[Name (generated)]]</f>
        <v xml:space="preserve">C17 </v>
      </c>
      <c r="C180" s="15">
        <f>Table3[[#This Row],[Sequence]]</f>
        <v>0</v>
      </c>
      <c r="E180" s="15">
        <v>2.5000000000000001E-2</v>
      </c>
      <c r="F180" s="15" t="s">
        <v>214</v>
      </c>
      <c r="G180" s="15" t="s">
        <v>213</v>
      </c>
      <c r="I180" s="15">
        <v>1</v>
      </c>
    </row>
    <row r="181" spans="1:9" x14ac:dyDescent="0.55000000000000004">
      <c r="A181" s="15" t="str">
        <f>Table3[[#This Row],[Name (generated)]]</f>
        <v xml:space="preserve">C18 </v>
      </c>
      <c r="C181" s="15">
        <f>Table3[[#This Row],[Sequence]]</f>
        <v>0</v>
      </c>
      <c r="E181" s="15">
        <v>2.5000000000000001E-2</v>
      </c>
      <c r="F181" s="15" t="s">
        <v>214</v>
      </c>
      <c r="G181" s="15" t="s">
        <v>213</v>
      </c>
      <c r="I181" s="15">
        <v>1</v>
      </c>
    </row>
    <row r="182" spans="1:9" x14ac:dyDescent="0.55000000000000004">
      <c r="A182" s="15" t="str">
        <f>Table3[[#This Row],[Name (generated)]]</f>
        <v xml:space="preserve">C19 </v>
      </c>
      <c r="C182" s="15">
        <f>Table3[[#This Row],[Sequence]]</f>
        <v>0</v>
      </c>
      <c r="E182" s="15">
        <v>2.5000000000000001E-2</v>
      </c>
      <c r="F182" s="15" t="s">
        <v>214</v>
      </c>
      <c r="G182" s="15" t="s">
        <v>213</v>
      </c>
      <c r="I182" s="15">
        <v>1</v>
      </c>
    </row>
    <row r="183" spans="1:9" x14ac:dyDescent="0.55000000000000004">
      <c r="A183" s="15" t="str">
        <f>Table3[[#This Row],[Name (generated)]]</f>
        <v xml:space="preserve">C20 </v>
      </c>
      <c r="C183" s="15">
        <f>Table3[[#This Row],[Sequence]]</f>
        <v>0</v>
      </c>
      <c r="E183" s="15">
        <v>2.5000000000000001E-2</v>
      </c>
      <c r="F183" s="15" t="s">
        <v>214</v>
      </c>
      <c r="G183" s="15" t="s">
        <v>213</v>
      </c>
      <c r="I183" s="15">
        <v>1</v>
      </c>
    </row>
    <row r="184" spans="1:9" x14ac:dyDescent="0.55000000000000004">
      <c r="A184" s="15" t="str">
        <f>Table3[[#This Row],[Name (generated)]]</f>
        <v xml:space="preserve">C21 </v>
      </c>
      <c r="C184" s="15">
        <f>Table3[[#This Row],[Sequence]]</f>
        <v>0</v>
      </c>
      <c r="E184" s="15">
        <v>2.5000000000000001E-2</v>
      </c>
      <c r="F184" s="15" t="s">
        <v>214</v>
      </c>
      <c r="G184" s="15" t="s">
        <v>213</v>
      </c>
      <c r="I184" s="15">
        <v>1</v>
      </c>
    </row>
    <row r="185" spans="1:9" x14ac:dyDescent="0.55000000000000004">
      <c r="A185" s="15" t="str">
        <f>Table3[[#This Row],[Name (generated)]]</f>
        <v xml:space="preserve">C22 </v>
      </c>
      <c r="C185" s="15">
        <f>Table3[[#This Row],[Sequence]]</f>
        <v>0</v>
      </c>
      <c r="E185" s="15">
        <v>2.5000000000000001E-2</v>
      </c>
      <c r="F185" s="15" t="s">
        <v>214</v>
      </c>
      <c r="G185" s="15" t="s">
        <v>213</v>
      </c>
      <c r="I185" s="15">
        <v>1</v>
      </c>
    </row>
    <row r="186" spans="1:9" x14ac:dyDescent="0.55000000000000004">
      <c r="A186" s="15" t="str">
        <f>Table3[[#This Row],[Name (generated)]]</f>
        <v xml:space="preserve">C23 </v>
      </c>
      <c r="C186" s="15">
        <f>Table3[[#This Row],[Sequence]]</f>
        <v>0</v>
      </c>
      <c r="E186" s="15">
        <v>2.5000000000000001E-2</v>
      </c>
      <c r="F186" s="15" t="s">
        <v>214</v>
      </c>
      <c r="G186" s="15" t="s">
        <v>213</v>
      </c>
      <c r="I186" s="15">
        <v>1</v>
      </c>
    </row>
    <row r="187" spans="1:9" x14ac:dyDescent="0.55000000000000004">
      <c r="A187" s="15" t="str">
        <f>Table3[[#This Row],[Name (generated)]]</f>
        <v xml:space="preserve">C24 </v>
      </c>
      <c r="C187" s="15">
        <f>Table3[[#This Row],[Sequence]]</f>
        <v>0</v>
      </c>
      <c r="E187" s="15">
        <v>2.5000000000000001E-2</v>
      </c>
      <c r="F187" s="15" t="s">
        <v>214</v>
      </c>
      <c r="G187" s="15" t="s">
        <v>213</v>
      </c>
      <c r="I187" s="15">
        <v>1</v>
      </c>
    </row>
    <row r="188" spans="1:9" x14ac:dyDescent="0.55000000000000004">
      <c r="A188" s="15" t="str">
        <f>Table3[[#This Row],[Name (generated)]]</f>
        <v xml:space="preserve">C25 </v>
      </c>
      <c r="C188" s="15">
        <f>Table3[[#This Row],[Sequence]]</f>
        <v>0</v>
      </c>
      <c r="E188" s="15">
        <v>2.5000000000000001E-2</v>
      </c>
      <c r="F188" s="15" t="s">
        <v>214</v>
      </c>
      <c r="G188" s="15" t="s">
        <v>213</v>
      </c>
      <c r="I188" s="15">
        <v>1</v>
      </c>
    </row>
    <row r="189" spans="1:9" x14ac:dyDescent="0.55000000000000004">
      <c r="A189" s="15" t="str">
        <f>Table3[[#This Row],[Name (generated)]]</f>
        <v xml:space="preserve">C26 </v>
      </c>
      <c r="C189" s="15">
        <f>Table3[[#This Row],[Sequence]]</f>
        <v>0</v>
      </c>
      <c r="E189" s="15">
        <v>2.5000000000000001E-2</v>
      </c>
      <c r="F189" s="15" t="s">
        <v>214</v>
      </c>
      <c r="G189" s="15" t="s">
        <v>213</v>
      </c>
      <c r="I189" s="15">
        <v>1</v>
      </c>
    </row>
    <row r="190" spans="1:9" x14ac:dyDescent="0.55000000000000004">
      <c r="A190" s="15" t="str">
        <f>Table3[[#This Row],[Name (generated)]]</f>
        <v xml:space="preserve">C27 </v>
      </c>
      <c r="C190" s="15">
        <f>Table3[[#This Row],[Sequence]]</f>
        <v>0</v>
      </c>
      <c r="E190" s="15">
        <v>2.5000000000000001E-2</v>
      </c>
      <c r="F190" s="15" t="s">
        <v>214</v>
      </c>
      <c r="G190" s="15" t="s">
        <v>213</v>
      </c>
      <c r="I190" s="15">
        <v>1</v>
      </c>
    </row>
    <row r="191" spans="1:9" x14ac:dyDescent="0.55000000000000004">
      <c r="A191" s="15" t="str">
        <f>Table3[[#This Row],[Name (generated)]]</f>
        <v xml:space="preserve">C28 </v>
      </c>
      <c r="C191" s="15">
        <f>Table3[[#This Row],[Sequence]]</f>
        <v>0</v>
      </c>
      <c r="E191" s="15">
        <v>2.5000000000000001E-2</v>
      </c>
      <c r="F191" s="15" t="s">
        <v>214</v>
      </c>
      <c r="G191" s="15" t="s">
        <v>213</v>
      </c>
      <c r="I191" s="15">
        <v>1</v>
      </c>
    </row>
    <row r="192" spans="1:9" x14ac:dyDescent="0.55000000000000004">
      <c r="A192" s="15" t="str">
        <f>Table3[[#This Row],[Name (generated)]]</f>
        <v xml:space="preserve">C29 </v>
      </c>
      <c r="C192" s="15">
        <f>Table3[[#This Row],[Sequence]]</f>
        <v>0</v>
      </c>
      <c r="E192" s="15">
        <v>2.5000000000000001E-2</v>
      </c>
      <c r="F192" s="15" t="s">
        <v>214</v>
      </c>
      <c r="G192" s="15" t="s">
        <v>213</v>
      </c>
      <c r="I192" s="15">
        <v>1</v>
      </c>
    </row>
    <row r="193" spans="1:9" x14ac:dyDescent="0.55000000000000004">
      <c r="A193" s="15" t="str">
        <f>Table3[[#This Row],[Name (generated)]]</f>
        <v xml:space="preserve">C30 </v>
      </c>
      <c r="C193" s="15">
        <f>Table3[[#This Row],[Sequence]]</f>
        <v>0</v>
      </c>
      <c r="E193" s="15">
        <v>2.5000000000000001E-2</v>
      </c>
      <c r="F193" s="15" t="s">
        <v>214</v>
      </c>
      <c r="G193" s="15" t="s">
        <v>213</v>
      </c>
      <c r="I193" s="15">
        <v>1</v>
      </c>
    </row>
    <row r="194" spans="1:9" x14ac:dyDescent="0.55000000000000004">
      <c r="A194" s="15" t="str">
        <f>Table3[[#This Row],[Name (generated)]]</f>
        <v xml:space="preserve">C31 </v>
      </c>
      <c r="C194" s="15">
        <f>Table3[[#This Row],[Sequence]]</f>
        <v>0</v>
      </c>
      <c r="E194" s="15">
        <v>2.5000000000000001E-2</v>
      </c>
      <c r="F194" s="15" t="s">
        <v>214</v>
      </c>
      <c r="G194" s="15" t="s">
        <v>213</v>
      </c>
      <c r="I194" s="15">
        <v>1</v>
      </c>
    </row>
    <row r="195" spans="1:9" x14ac:dyDescent="0.55000000000000004">
      <c r="A195" s="15" t="str">
        <f>Table3[[#This Row],[Name (generated)]]</f>
        <v xml:space="preserve">C32 </v>
      </c>
      <c r="C195" s="15">
        <f>Table3[[#This Row],[Sequence]]</f>
        <v>0</v>
      </c>
      <c r="E195" s="15">
        <v>2.5000000000000001E-2</v>
      </c>
      <c r="F195" s="15" t="s">
        <v>214</v>
      </c>
      <c r="G195" s="15" t="s">
        <v>213</v>
      </c>
      <c r="I195" s="15">
        <v>1</v>
      </c>
    </row>
    <row r="196" spans="1:9" x14ac:dyDescent="0.55000000000000004">
      <c r="A196" s="15" t="str">
        <f>Table3[[#This Row],[Name (generated)]]</f>
        <v xml:space="preserve">C33 </v>
      </c>
      <c r="C196" s="15">
        <f>Table3[[#This Row],[Sequence]]</f>
        <v>0</v>
      </c>
      <c r="E196" s="15">
        <v>2.5000000000000001E-2</v>
      </c>
      <c r="F196" s="15" t="s">
        <v>214</v>
      </c>
      <c r="G196" s="15" t="s">
        <v>213</v>
      </c>
      <c r="I196" s="15">
        <v>1</v>
      </c>
    </row>
    <row r="197" spans="1:9" x14ac:dyDescent="0.55000000000000004">
      <c r="A197" s="15" t="str">
        <f>Table3[[#This Row],[Name (generated)]]</f>
        <v xml:space="preserve">C34 </v>
      </c>
      <c r="C197" s="15">
        <f>Table3[[#This Row],[Sequence]]</f>
        <v>0</v>
      </c>
      <c r="E197" s="15">
        <v>2.5000000000000001E-2</v>
      </c>
      <c r="F197" s="15" t="s">
        <v>214</v>
      </c>
      <c r="G197" s="15" t="s">
        <v>213</v>
      </c>
      <c r="I197" s="15">
        <v>1</v>
      </c>
    </row>
    <row r="198" spans="1:9" x14ac:dyDescent="0.55000000000000004">
      <c r="A198" s="15" t="str">
        <f>Table3[[#This Row],[Name (generated)]]</f>
        <v xml:space="preserve">C35 </v>
      </c>
      <c r="C198" s="15">
        <f>Table3[[#This Row],[Sequence]]</f>
        <v>0</v>
      </c>
      <c r="E198" s="15">
        <v>2.5000000000000001E-2</v>
      </c>
      <c r="F198" s="15" t="s">
        <v>214</v>
      </c>
      <c r="G198" s="15" t="s">
        <v>213</v>
      </c>
      <c r="I198" s="15">
        <v>1</v>
      </c>
    </row>
    <row r="199" spans="1:9" x14ac:dyDescent="0.55000000000000004">
      <c r="A199" s="15" t="str">
        <f>Table3[[#This Row],[Name (generated)]]</f>
        <v xml:space="preserve">C36 </v>
      </c>
      <c r="C199" s="15">
        <f>Table3[[#This Row],[Sequence]]</f>
        <v>0</v>
      </c>
      <c r="E199" s="15">
        <v>2.5000000000000001E-2</v>
      </c>
      <c r="F199" s="15" t="s">
        <v>214</v>
      </c>
      <c r="G199" s="15" t="s">
        <v>213</v>
      </c>
      <c r="I199" s="15">
        <v>1</v>
      </c>
    </row>
    <row r="200" spans="1:9" x14ac:dyDescent="0.55000000000000004">
      <c r="A200" s="15" t="str">
        <f>Table3[[#This Row],[Name (generated)]]</f>
        <v xml:space="preserve">C37 </v>
      </c>
      <c r="C200" s="15">
        <f>Table3[[#This Row],[Sequence]]</f>
        <v>0</v>
      </c>
      <c r="E200" s="15">
        <v>2.5000000000000001E-2</v>
      </c>
      <c r="F200" s="15" t="s">
        <v>214</v>
      </c>
      <c r="G200" s="15" t="s">
        <v>213</v>
      </c>
      <c r="I200" s="15">
        <v>1</v>
      </c>
    </row>
    <row r="201" spans="1:9" x14ac:dyDescent="0.55000000000000004">
      <c r="A201" s="15" t="str">
        <f>Table3[[#This Row],[Name (generated)]]</f>
        <v xml:space="preserve">C38 </v>
      </c>
      <c r="C201" s="15">
        <f>Table3[[#This Row],[Sequence]]</f>
        <v>0</v>
      </c>
      <c r="E201" s="15">
        <v>2.5000000000000001E-2</v>
      </c>
      <c r="F201" s="15" t="s">
        <v>214</v>
      </c>
      <c r="G201" s="15" t="s">
        <v>213</v>
      </c>
      <c r="I201" s="15">
        <v>1</v>
      </c>
    </row>
    <row r="202" spans="1:9" x14ac:dyDescent="0.55000000000000004">
      <c r="A202" s="15" t="str">
        <f>Table3[[#This Row],[Name (generated)]]</f>
        <v xml:space="preserve">C39 </v>
      </c>
      <c r="C202" s="15">
        <f>Table3[[#This Row],[Sequence]]</f>
        <v>0</v>
      </c>
      <c r="E202" s="15">
        <v>2.5000000000000001E-2</v>
      </c>
      <c r="F202" s="15" t="s">
        <v>214</v>
      </c>
      <c r="G202" s="15" t="s">
        <v>213</v>
      </c>
      <c r="I202" s="15">
        <v>1</v>
      </c>
    </row>
    <row r="203" spans="1:9" x14ac:dyDescent="0.55000000000000004">
      <c r="A203" s="15" t="str">
        <f>Table3[[#This Row],[Name (generated)]]</f>
        <v xml:space="preserve">C40 </v>
      </c>
      <c r="C203" s="15">
        <f>Table3[[#This Row],[Sequence]]</f>
        <v>0</v>
      </c>
      <c r="E203" s="15">
        <v>2.5000000000000001E-2</v>
      </c>
      <c r="F203" s="15" t="s">
        <v>214</v>
      </c>
      <c r="G203" s="15" t="s">
        <v>213</v>
      </c>
      <c r="I203" s="15">
        <v>1</v>
      </c>
    </row>
    <row r="204" spans="1:9" x14ac:dyDescent="0.55000000000000004">
      <c r="A204" s="15" t="str">
        <f>Table3[[#This Row],[Name (generated)]]</f>
        <v xml:space="preserve">C41 </v>
      </c>
      <c r="C204" s="15">
        <f>Table3[[#This Row],[Sequence]]</f>
        <v>0</v>
      </c>
      <c r="E204" s="15">
        <v>2.5000000000000001E-2</v>
      </c>
      <c r="F204" s="15" t="s">
        <v>214</v>
      </c>
      <c r="G204" s="15" t="s">
        <v>213</v>
      </c>
      <c r="I204" s="15">
        <v>1</v>
      </c>
    </row>
    <row r="205" spans="1:9" x14ac:dyDescent="0.55000000000000004">
      <c r="A205" s="15" t="str">
        <f>Table3[[#This Row],[Name (generated)]]</f>
        <v xml:space="preserve">C42 </v>
      </c>
      <c r="C205" s="15">
        <f>Table3[[#This Row],[Sequence]]</f>
        <v>0</v>
      </c>
      <c r="E205" s="15">
        <v>2.5000000000000001E-2</v>
      </c>
      <c r="F205" s="15" t="s">
        <v>214</v>
      </c>
      <c r="G205" s="15" t="s">
        <v>213</v>
      </c>
      <c r="I205" s="15">
        <v>1</v>
      </c>
    </row>
    <row r="206" spans="1:9" x14ac:dyDescent="0.55000000000000004">
      <c r="A206" s="15" t="str">
        <f>Table3[[#This Row],[Name (generated)]]</f>
        <v xml:space="preserve">C43 </v>
      </c>
      <c r="C206" s="15">
        <f>Table3[[#This Row],[Sequence]]</f>
        <v>0</v>
      </c>
      <c r="E206" s="15">
        <v>2.5000000000000001E-2</v>
      </c>
      <c r="F206" s="15" t="s">
        <v>214</v>
      </c>
      <c r="G206" s="15" t="s">
        <v>213</v>
      </c>
      <c r="I206" s="15">
        <v>1</v>
      </c>
    </row>
    <row r="207" spans="1:9" x14ac:dyDescent="0.55000000000000004">
      <c r="A207" s="15" t="str">
        <f>Table3[[#This Row],[Name (generated)]]</f>
        <v xml:space="preserve">C44 </v>
      </c>
      <c r="C207" s="15">
        <f>Table3[[#This Row],[Sequence]]</f>
        <v>0</v>
      </c>
      <c r="E207" s="15">
        <v>2.5000000000000001E-2</v>
      </c>
      <c r="F207" s="15" t="s">
        <v>214</v>
      </c>
      <c r="G207" s="15" t="s">
        <v>213</v>
      </c>
      <c r="I207" s="15">
        <v>1</v>
      </c>
    </row>
    <row r="208" spans="1:9" x14ac:dyDescent="0.55000000000000004">
      <c r="A208" s="15" t="str">
        <f>Table3[[#This Row],[Name (generated)]]</f>
        <v xml:space="preserve">C45 </v>
      </c>
      <c r="C208" s="15">
        <f>Table3[[#This Row],[Sequence]]</f>
        <v>0</v>
      </c>
      <c r="E208" s="15">
        <v>2.5000000000000001E-2</v>
      </c>
      <c r="F208" s="15" t="s">
        <v>214</v>
      </c>
      <c r="G208" s="15" t="s">
        <v>213</v>
      </c>
      <c r="I208" s="15">
        <v>1</v>
      </c>
    </row>
    <row r="209" spans="1:9" x14ac:dyDescent="0.55000000000000004">
      <c r="A209" s="15" t="str">
        <f>Table3[[#This Row],[Name (generated)]]</f>
        <v xml:space="preserve">C46 </v>
      </c>
      <c r="C209" s="15">
        <f>Table3[[#This Row],[Sequence]]</f>
        <v>0</v>
      </c>
      <c r="E209" s="15">
        <v>2.5000000000000001E-2</v>
      </c>
      <c r="F209" s="15" t="s">
        <v>214</v>
      </c>
      <c r="G209" s="15" t="s">
        <v>213</v>
      </c>
      <c r="I209" s="15">
        <v>1</v>
      </c>
    </row>
    <row r="210" spans="1:9" x14ac:dyDescent="0.55000000000000004">
      <c r="A210" s="15" t="str">
        <f>Table3[[#This Row],[Name (generated)]]</f>
        <v xml:space="preserve">C47 </v>
      </c>
      <c r="C210" s="15">
        <f>Table3[[#This Row],[Sequence]]</f>
        <v>0</v>
      </c>
      <c r="E210" s="15">
        <v>2.5000000000000001E-2</v>
      </c>
      <c r="F210" s="15" t="s">
        <v>214</v>
      </c>
      <c r="G210" s="15" t="s">
        <v>213</v>
      </c>
      <c r="I210" s="15">
        <v>1</v>
      </c>
    </row>
    <row r="211" spans="1:9" x14ac:dyDescent="0.55000000000000004">
      <c r="A211" s="15" t="str">
        <f>Table3[[#This Row],[Name (generated)]]</f>
        <v xml:space="preserve">C48 </v>
      </c>
      <c r="C211" s="15">
        <f>Table3[[#This Row],[Sequence]]</f>
        <v>0</v>
      </c>
      <c r="E211" s="15">
        <v>2.5000000000000001E-2</v>
      </c>
      <c r="F211" s="15" t="s">
        <v>214</v>
      </c>
      <c r="G211" s="15" t="s">
        <v>213</v>
      </c>
      <c r="I211" s="15">
        <v>1</v>
      </c>
    </row>
    <row r="212" spans="1:9" x14ac:dyDescent="0.55000000000000004">
      <c r="A212" s="15" t="str">
        <f>Table3[[#This Row],[Name (generated)]]</f>
        <v xml:space="preserve">C49 </v>
      </c>
      <c r="C212" s="15">
        <f>Table3[[#This Row],[Sequence]]</f>
        <v>0</v>
      </c>
      <c r="E212" s="15">
        <v>2.5000000000000001E-2</v>
      </c>
      <c r="F212" s="15" t="s">
        <v>214</v>
      </c>
      <c r="G212" s="15" t="s">
        <v>213</v>
      </c>
      <c r="I212" s="15">
        <v>1</v>
      </c>
    </row>
    <row r="213" spans="1:9" x14ac:dyDescent="0.55000000000000004">
      <c r="A213" s="15" t="str">
        <f>Table3[[#This Row],[Name (generated)]]</f>
        <v xml:space="preserve">C50 </v>
      </c>
      <c r="C213" s="15">
        <f>Table3[[#This Row],[Sequence]]</f>
        <v>0</v>
      </c>
      <c r="E213" s="15">
        <v>2.5000000000000001E-2</v>
      </c>
      <c r="F213" s="15" t="s">
        <v>214</v>
      </c>
      <c r="G213" s="15" t="s">
        <v>213</v>
      </c>
      <c r="I213" s="15">
        <v>1</v>
      </c>
    </row>
    <row r="214" spans="1:9" x14ac:dyDescent="0.55000000000000004">
      <c r="A214" s="15" t="str">
        <f>Table3[[#This Row],[Name (generated)]]</f>
        <v xml:space="preserve">C51 </v>
      </c>
      <c r="C214" s="15">
        <f>Table3[[#This Row],[Sequence]]</f>
        <v>0</v>
      </c>
      <c r="E214" s="15">
        <v>2.5000000000000001E-2</v>
      </c>
      <c r="F214" s="15" t="s">
        <v>214</v>
      </c>
      <c r="G214" s="15" t="s">
        <v>213</v>
      </c>
      <c r="I214" s="15">
        <v>1</v>
      </c>
    </row>
    <row r="215" spans="1:9" x14ac:dyDescent="0.55000000000000004">
      <c r="A215" s="15" t="str">
        <f>Table3[[#This Row],[Name (generated)]]</f>
        <v xml:space="preserve">C52 </v>
      </c>
      <c r="C215" s="15">
        <f>Table3[[#This Row],[Sequence]]</f>
        <v>0</v>
      </c>
      <c r="E215" s="15">
        <v>2.5000000000000001E-2</v>
      </c>
      <c r="F215" s="15" t="s">
        <v>214</v>
      </c>
      <c r="G215" s="15" t="s">
        <v>213</v>
      </c>
      <c r="I215" s="15">
        <v>1</v>
      </c>
    </row>
    <row r="216" spans="1:9" x14ac:dyDescent="0.55000000000000004">
      <c r="A216" s="15" t="str">
        <f>Table3[[#This Row],[Name (generated)]]</f>
        <v xml:space="preserve">C53 </v>
      </c>
      <c r="C216" s="15">
        <f>Table3[[#This Row],[Sequence]]</f>
        <v>0</v>
      </c>
      <c r="E216" s="15">
        <v>2.5000000000000001E-2</v>
      </c>
      <c r="F216" s="15" t="s">
        <v>214</v>
      </c>
      <c r="G216" s="15" t="s">
        <v>213</v>
      </c>
      <c r="I216" s="15">
        <v>1</v>
      </c>
    </row>
    <row r="217" spans="1:9" x14ac:dyDescent="0.55000000000000004">
      <c r="A217" s="15" t="str">
        <f>Table3[[#This Row],[Name (generated)]]</f>
        <v xml:space="preserve">C54 </v>
      </c>
      <c r="C217" s="15">
        <f>Table3[[#This Row],[Sequence]]</f>
        <v>0</v>
      </c>
      <c r="E217" s="15">
        <v>2.5000000000000001E-2</v>
      </c>
      <c r="F217" s="15" t="s">
        <v>214</v>
      </c>
      <c r="G217" s="15" t="s">
        <v>213</v>
      </c>
      <c r="I217" s="15">
        <v>1</v>
      </c>
    </row>
    <row r="218" spans="1:9" x14ac:dyDescent="0.55000000000000004">
      <c r="A218" s="15" t="str">
        <f>Table3[[#This Row],[Name (generated)]]</f>
        <v xml:space="preserve">C55 </v>
      </c>
      <c r="C218" s="15">
        <f>Table3[[#This Row],[Sequence]]</f>
        <v>0</v>
      </c>
      <c r="E218" s="15">
        <v>2.5000000000000001E-2</v>
      </c>
      <c r="F218" s="15" t="s">
        <v>214</v>
      </c>
      <c r="G218" s="15" t="s">
        <v>213</v>
      </c>
      <c r="I218" s="15">
        <v>1</v>
      </c>
    </row>
    <row r="219" spans="1:9" x14ac:dyDescent="0.55000000000000004">
      <c r="A219" s="15" t="str">
        <f>Table3[[#This Row],[Name (generated)]]</f>
        <v xml:space="preserve">C56 </v>
      </c>
      <c r="C219" s="15">
        <f>Table3[[#This Row],[Sequence]]</f>
        <v>0</v>
      </c>
      <c r="E219" s="15">
        <v>2.5000000000000001E-2</v>
      </c>
      <c r="F219" s="15" t="s">
        <v>214</v>
      </c>
      <c r="G219" s="15" t="s">
        <v>213</v>
      </c>
      <c r="I219" s="15">
        <v>1</v>
      </c>
    </row>
    <row r="220" spans="1:9" x14ac:dyDescent="0.55000000000000004">
      <c r="A220" s="15" t="str">
        <f>Table3[[#This Row],[Name (generated)]]</f>
        <v xml:space="preserve">C57 </v>
      </c>
      <c r="C220" s="15">
        <f>Table3[[#This Row],[Sequence]]</f>
        <v>0</v>
      </c>
      <c r="E220" s="15">
        <v>2.5000000000000001E-2</v>
      </c>
      <c r="F220" s="15" t="s">
        <v>214</v>
      </c>
      <c r="G220" s="15" t="s">
        <v>213</v>
      </c>
      <c r="I220" s="15">
        <v>1</v>
      </c>
    </row>
    <row r="221" spans="1:9" x14ac:dyDescent="0.55000000000000004">
      <c r="A221" s="15" t="str">
        <f>Table3[[#This Row],[Name (generated)]]</f>
        <v xml:space="preserve">C58 </v>
      </c>
      <c r="C221" s="15">
        <f>Table3[[#This Row],[Sequence]]</f>
        <v>0</v>
      </c>
      <c r="E221" s="15">
        <v>2.5000000000000001E-2</v>
      </c>
      <c r="F221" s="15" t="s">
        <v>214</v>
      </c>
      <c r="G221" s="15" t="s">
        <v>213</v>
      </c>
      <c r="I221" s="15">
        <v>1</v>
      </c>
    </row>
    <row r="222" spans="1:9" x14ac:dyDescent="0.55000000000000004">
      <c r="A222" s="15" t="str">
        <f>Table3[[#This Row],[Name (generated)]]</f>
        <v xml:space="preserve">C59 </v>
      </c>
      <c r="C222" s="15">
        <f>Table3[[#This Row],[Sequence]]</f>
        <v>0</v>
      </c>
      <c r="E222" s="15">
        <v>2.5000000000000001E-2</v>
      </c>
      <c r="F222" s="15" t="s">
        <v>214</v>
      </c>
      <c r="G222" s="15" t="s">
        <v>213</v>
      </c>
      <c r="I222" s="15">
        <v>1</v>
      </c>
    </row>
    <row r="223" spans="1:9" x14ac:dyDescent="0.55000000000000004">
      <c r="A223" s="15" t="str">
        <f>Table3[[#This Row],[Name (generated)]]</f>
        <v xml:space="preserve">C60 </v>
      </c>
      <c r="C223" s="15">
        <f>Table3[[#This Row],[Sequence]]</f>
        <v>0</v>
      </c>
      <c r="E223" s="15">
        <v>2.5000000000000001E-2</v>
      </c>
      <c r="F223" s="15" t="s">
        <v>214</v>
      </c>
      <c r="G223" s="15" t="s">
        <v>213</v>
      </c>
      <c r="I223" s="15">
        <v>1</v>
      </c>
    </row>
    <row r="224" spans="1:9" x14ac:dyDescent="0.55000000000000004">
      <c r="A224" s="15" t="str">
        <f>Table3[[#This Row],[Name (generated)]]</f>
        <v xml:space="preserve">C61 </v>
      </c>
      <c r="C224" s="15">
        <f>Table3[[#This Row],[Sequence]]</f>
        <v>0</v>
      </c>
      <c r="E224" s="15">
        <v>2.5000000000000001E-2</v>
      </c>
      <c r="F224" s="15" t="s">
        <v>214</v>
      </c>
      <c r="G224" s="15" t="s">
        <v>213</v>
      </c>
      <c r="I224" s="15">
        <v>1</v>
      </c>
    </row>
    <row r="225" spans="1:9" x14ac:dyDescent="0.55000000000000004">
      <c r="A225" s="15" t="str">
        <f>Table3[[#This Row],[Name (generated)]]</f>
        <v xml:space="preserve">C62 </v>
      </c>
      <c r="C225" s="15">
        <f>Table3[[#This Row],[Sequence]]</f>
        <v>0</v>
      </c>
      <c r="E225" s="15">
        <v>2.5000000000000001E-2</v>
      </c>
      <c r="F225" s="15" t="s">
        <v>214</v>
      </c>
      <c r="G225" s="15" t="s">
        <v>213</v>
      </c>
      <c r="I225" s="15">
        <v>1</v>
      </c>
    </row>
    <row r="226" spans="1:9" x14ac:dyDescent="0.55000000000000004">
      <c r="A226" s="15" t="str">
        <f>Table3[[#This Row],[Name (generated)]]</f>
        <v xml:space="preserve">C63 </v>
      </c>
      <c r="C226" s="15">
        <f>Table3[[#This Row],[Sequence]]</f>
        <v>0</v>
      </c>
      <c r="E226" s="15">
        <v>2.5000000000000001E-2</v>
      </c>
      <c r="F226" s="15" t="s">
        <v>214</v>
      </c>
      <c r="G226" s="15" t="s">
        <v>213</v>
      </c>
      <c r="I226" s="15">
        <v>1</v>
      </c>
    </row>
    <row r="227" spans="1:9" x14ac:dyDescent="0.55000000000000004">
      <c r="A227" s="15" t="str">
        <f>Table3[[#This Row],[Name (generated)]]</f>
        <v xml:space="preserve">C64 </v>
      </c>
      <c r="C227" s="15">
        <f>Table3[[#This Row],[Sequence]]</f>
        <v>0</v>
      </c>
      <c r="E227" s="15">
        <v>2.5000000000000001E-2</v>
      </c>
      <c r="F227" s="15" t="s">
        <v>214</v>
      </c>
      <c r="G227" s="15" t="s">
        <v>213</v>
      </c>
      <c r="I227" s="15">
        <v>1</v>
      </c>
    </row>
    <row r="228" spans="1:9" x14ac:dyDescent="0.55000000000000004">
      <c r="A228" s="15" t="str">
        <f>Table3[[#This Row],[Name (generated)]]</f>
        <v xml:space="preserve">C65 </v>
      </c>
      <c r="C228" s="15">
        <f>Table3[[#This Row],[Sequence]]</f>
        <v>0</v>
      </c>
      <c r="E228" s="15">
        <v>2.5000000000000001E-2</v>
      </c>
      <c r="F228" s="15" t="s">
        <v>214</v>
      </c>
      <c r="G228" s="15" t="s">
        <v>213</v>
      </c>
      <c r="I228" s="15">
        <v>1</v>
      </c>
    </row>
    <row r="229" spans="1:9" x14ac:dyDescent="0.55000000000000004">
      <c r="A229" s="15" t="str">
        <f>Table3[[#This Row],[Name (generated)]]</f>
        <v xml:space="preserve">C66 </v>
      </c>
      <c r="C229" s="15">
        <f>Table3[[#This Row],[Sequence]]</f>
        <v>0</v>
      </c>
      <c r="E229" s="15">
        <v>2.5000000000000001E-2</v>
      </c>
      <c r="F229" s="15" t="s">
        <v>214</v>
      </c>
      <c r="G229" s="15" t="s">
        <v>213</v>
      </c>
      <c r="I229" s="15">
        <v>1</v>
      </c>
    </row>
    <row r="230" spans="1:9" x14ac:dyDescent="0.55000000000000004">
      <c r="A230" s="15" t="str">
        <f>Table3[[#This Row],[Name (generated)]]</f>
        <v xml:space="preserve">C67 </v>
      </c>
      <c r="C230" s="15">
        <f>Table3[[#This Row],[Sequence]]</f>
        <v>0</v>
      </c>
      <c r="E230" s="15">
        <v>2.5000000000000001E-2</v>
      </c>
      <c r="F230" s="15" t="s">
        <v>214</v>
      </c>
      <c r="G230" s="15" t="s">
        <v>213</v>
      </c>
      <c r="I230" s="15">
        <v>1</v>
      </c>
    </row>
    <row r="231" spans="1:9" x14ac:dyDescent="0.55000000000000004">
      <c r="A231" s="15" t="str">
        <f>Table3[[#This Row],[Name (generated)]]</f>
        <v xml:space="preserve">C68 </v>
      </c>
      <c r="C231" s="15">
        <f>Table3[[#This Row],[Sequence]]</f>
        <v>0</v>
      </c>
      <c r="E231" s="15">
        <v>2.5000000000000001E-2</v>
      </c>
      <c r="F231" s="15" t="s">
        <v>214</v>
      </c>
      <c r="G231" s="15" t="s">
        <v>213</v>
      </c>
      <c r="I231" s="15">
        <v>1</v>
      </c>
    </row>
    <row r="232" spans="1:9" x14ac:dyDescent="0.55000000000000004">
      <c r="A232" s="15" t="str">
        <f>Table3[[#This Row],[Name (generated)]]</f>
        <v xml:space="preserve">C69 </v>
      </c>
      <c r="C232" s="15">
        <f>Table3[[#This Row],[Sequence]]</f>
        <v>0</v>
      </c>
      <c r="E232" s="15">
        <v>2.5000000000000001E-2</v>
      </c>
      <c r="F232" s="15" t="s">
        <v>214</v>
      </c>
      <c r="G232" s="15" t="s">
        <v>213</v>
      </c>
      <c r="I232" s="15">
        <v>1</v>
      </c>
    </row>
    <row r="233" spans="1:9" x14ac:dyDescent="0.55000000000000004">
      <c r="A233" s="15" t="str">
        <f>Table3[[#This Row],[Name (generated)]]</f>
        <v xml:space="preserve">C70 </v>
      </c>
      <c r="C233" s="15">
        <f>Table3[[#This Row],[Sequence]]</f>
        <v>0</v>
      </c>
      <c r="E233" s="15">
        <v>2.5000000000000001E-2</v>
      </c>
      <c r="F233" s="15" t="s">
        <v>214</v>
      </c>
      <c r="G233" s="15" t="s">
        <v>213</v>
      </c>
      <c r="I233" s="15">
        <v>1</v>
      </c>
    </row>
    <row r="234" spans="1:9" x14ac:dyDescent="0.55000000000000004">
      <c r="A234" s="15" t="str">
        <f>Table3[[#This Row],[Name (generated)]]</f>
        <v xml:space="preserve">C71 </v>
      </c>
      <c r="C234" s="15">
        <f>Table3[[#This Row],[Sequence]]</f>
        <v>0</v>
      </c>
      <c r="E234" s="15">
        <v>2.5000000000000001E-2</v>
      </c>
      <c r="F234" s="15" t="s">
        <v>214</v>
      </c>
      <c r="G234" s="15" t="s">
        <v>213</v>
      </c>
      <c r="I234" s="15">
        <v>1</v>
      </c>
    </row>
    <row r="235" spans="1:9" x14ac:dyDescent="0.55000000000000004">
      <c r="A235" s="15" t="str">
        <f>Table3[[#This Row],[Name (generated)]]</f>
        <v xml:space="preserve">C72 </v>
      </c>
      <c r="C235" s="15">
        <f>Table3[[#This Row],[Sequence]]</f>
        <v>0</v>
      </c>
      <c r="E235" s="15">
        <v>2.5000000000000001E-2</v>
      </c>
      <c r="F235" s="15" t="s">
        <v>214</v>
      </c>
      <c r="G235" s="15" t="s">
        <v>213</v>
      </c>
      <c r="I235" s="15">
        <v>1</v>
      </c>
    </row>
    <row r="236" spans="1:9" x14ac:dyDescent="0.55000000000000004">
      <c r="A236" s="15" t="str">
        <f>Table3[[#This Row],[Name (generated)]]</f>
        <v xml:space="preserve">C73 </v>
      </c>
      <c r="C236" s="15">
        <f>Table3[[#This Row],[Sequence]]</f>
        <v>0</v>
      </c>
      <c r="E236" s="15">
        <v>2.5000000000000001E-2</v>
      </c>
      <c r="F236" s="15" t="s">
        <v>214</v>
      </c>
      <c r="G236" s="15" t="s">
        <v>213</v>
      </c>
      <c r="I236" s="15">
        <v>1</v>
      </c>
    </row>
    <row r="237" spans="1:9" x14ac:dyDescent="0.55000000000000004">
      <c r="A237" s="15" t="str">
        <f>Table3[[#This Row],[Name (generated)]]</f>
        <v xml:space="preserve">C74 </v>
      </c>
      <c r="C237" s="15">
        <f>Table3[[#This Row],[Sequence]]</f>
        <v>0</v>
      </c>
      <c r="E237" s="15">
        <v>2.5000000000000001E-2</v>
      </c>
      <c r="F237" s="15" t="s">
        <v>214</v>
      </c>
      <c r="G237" s="15" t="s">
        <v>213</v>
      </c>
      <c r="I237" s="15">
        <v>1</v>
      </c>
    </row>
    <row r="238" spans="1:9" x14ac:dyDescent="0.55000000000000004">
      <c r="A238" s="15" t="str">
        <f>Table3[[#This Row],[Name (generated)]]</f>
        <v xml:space="preserve">C75 </v>
      </c>
      <c r="C238" s="15">
        <f>Table3[[#This Row],[Sequence]]</f>
        <v>0</v>
      </c>
      <c r="E238" s="15">
        <v>2.5000000000000001E-2</v>
      </c>
      <c r="F238" s="15" t="s">
        <v>214</v>
      </c>
      <c r="G238" s="15" t="s">
        <v>213</v>
      </c>
      <c r="I238" s="15">
        <v>1</v>
      </c>
    </row>
    <row r="239" spans="1:9" x14ac:dyDescent="0.55000000000000004">
      <c r="A239" s="15" t="str">
        <f>Table3[[#This Row],[Name (generated)]]</f>
        <v xml:space="preserve">C76 </v>
      </c>
      <c r="C239" s="15">
        <f>Table3[[#This Row],[Sequence]]</f>
        <v>0</v>
      </c>
      <c r="E239" s="15">
        <v>2.5000000000000001E-2</v>
      </c>
      <c r="F239" s="15" t="s">
        <v>214</v>
      </c>
      <c r="G239" s="15" t="s">
        <v>213</v>
      </c>
      <c r="I239" s="15">
        <v>1</v>
      </c>
    </row>
    <row r="240" spans="1:9" x14ac:dyDescent="0.55000000000000004">
      <c r="A240" s="15" t="str">
        <f>Table3[[#This Row],[Name (generated)]]</f>
        <v xml:space="preserve">C77 </v>
      </c>
      <c r="C240" s="15">
        <f>Table3[[#This Row],[Sequence]]</f>
        <v>0</v>
      </c>
      <c r="E240" s="15">
        <v>2.5000000000000001E-2</v>
      </c>
      <c r="F240" s="15" t="s">
        <v>214</v>
      </c>
      <c r="G240" s="15" t="s">
        <v>213</v>
      </c>
      <c r="I240" s="15">
        <v>1</v>
      </c>
    </row>
    <row r="241" spans="1:9" x14ac:dyDescent="0.55000000000000004">
      <c r="A241" s="15" t="str">
        <f>Table3[[#This Row],[Name (generated)]]</f>
        <v xml:space="preserve">C78 </v>
      </c>
      <c r="C241" s="15">
        <f>Table3[[#This Row],[Sequence]]</f>
        <v>0</v>
      </c>
      <c r="E241" s="15">
        <v>2.5000000000000001E-2</v>
      </c>
      <c r="F241" s="15" t="s">
        <v>214</v>
      </c>
      <c r="G241" s="15" t="s">
        <v>213</v>
      </c>
      <c r="I241" s="15">
        <v>1</v>
      </c>
    </row>
    <row r="242" spans="1:9" x14ac:dyDescent="0.55000000000000004">
      <c r="A242" s="15" t="str">
        <f>Table3[[#This Row],[Name (generated)]]</f>
        <v xml:space="preserve">C79 </v>
      </c>
      <c r="C242" s="15">
        <f>Table3[[#This Row],[Sequence]]</f>
        <v>0</v>
      </c>
      <c r="E242" s="15">
        <v>2.5000000000000001E-2</v>
      </c>
      <c r="F242" s="15" t="s">
        <v>214</v>
      </c>
      <c r="G242" s="15" t="s">
        <v>213</v>
      </c>
      <c r="I242" s="15">
        <v>1</v>
      </c>
    </row>
    <row r="243" spans="1:9" x14ac:dyDescent="0.55000000000000004">
      <c r="A243" s="15" t="str">
        <f>Table3[[#This Row],[Name (generated)]]</f>
        <v xml:space="preserve">C80 </v>
      </c>
      <c r="C243" s="15">
        <f>Table3[[#This Row],[Sequence]]</f>
        <v>0</v>
      </c>
      <c r="E243" s="15">
        <v>2.5000000000000001E-2</v>
      </c>
      <c r="F243" s="15" t="s">
        <v>214</v>
      </c>
      <c r="G243" s="15" t="s">
        <v>213</v>
      </c>
      <c r="I243" s="15">
        <v>1</v>
      </c>
    </row>
    <row r="244" spans="1:9" x14ac:dyDescent="0.55000000000000004">
      <c r="A244" s="15" t="str">
        <f>Table3[[#This Row],[Name (generated)]]</f>
        <v xml:space="preserve">C81 </v>
      </c>
      <c r="C244" s="15">
        <f>Table3[[#This Row],[Sequence]]</f>
        <v>0</v>
      </c>
      <c r="E244" s="15">
        <v>2.5000000000000001E-2</v>
      </c>
      <c r="F244" s="15" t="s">
        <v>214</v>
      </c>
      <c r="G244" s="15" t="s">
        <v>213</v>
      </c>
      <c r="I244" s="15">
        <v>1</v>
      </c>
    </row>
    <row r="245" spans="1:9" x14ac:dyDescent="0.55000000000000004">
      <c r="A245" s="15" t="str">
        <f>Table3[[#This Row],[Name (generated)]]</f>
        <v xml:space="preserve">D01 </v>
      </c>
      <c r="C245" s="15">
        <f>Table3[[#This Row],[Sequence]]</f>
        <v>0</v>
      </c>
      <c r="E245" s="15">
        <v>2.5000000000000001E-2</v>
      </c>
      <c r="F245" s="15" t="s">
        <v>214</v>
      </c>
      <c r="G245" s="15" t="s">
        <v>213</v>
      </c>
      <c r="I245" s="15">
        <v>1</v>
      </c>
    </row>
    <row r="246" spans="1:9" x14ac:dyDescent="0.55000000000000004">
      <c r="A246" s="15" t="str">
        <f>Table3[[#This Row],[Name (generated)]]</f>
        <v xml:space="preserve">D02 </v>
      </c>
      <c r="C246" s="15">
        <f>Table3[[#This Row],[Sequence]]</f>
        <v>0</v>
      </c>
      <c r="E246" s="15">
        <v>2.5000000000000001E-2</v>
      </c>
      <c r="F246" s="15" t="s">
        <v>214</v>
      </c>
      <c r="G246" s="15" t="s">
        <v>213</v>
      </c>
      <c r="I246" s="15">
        <v>1</v>
      </c>
    </row>
    <row r="247" spans="1:9" x14ac:dyDescent="0.55000000000000004">
      <c r="A247" s="15" t="str">
        <f>Table3[[#This Row],[Name (generated)]]</f>
        <v xml:space="preserve">D03 </v>
      </c>
      <c r="C247" s="15">
        <f>Table3[[#This Row],[Sequence]]</f>
        <v>0</v>
      </c>
      <c r="E247" s="15">
        <v>2.5000000000000001E-2</v>
      </c>
      <c r="F247" s="15" t="s">
        <v>214</v>
      </c>
      <c r="G247" s="15" t="s">
        <v>213</v>
      </c>
      <c r="I247" s="15">
        <v>1</v>
      </c>
    </row>
    <row r="248" spans="1:9" x14ac:dyDescent="0.55000000000000004">
      <c r="A248" s="15" t="str">
        <f>Table3[[#This Row],[Name (generated)]]</f>
        <v xml:space="preserve">D04 </v>
      </c>
      <c r="C248" s="15">
        <f>Table3[[#This Row],[Sequence]]</f>
        <v>0</v>
      </c>
      <c r="E248" s="15">
        <v>2.5000000000000001E-2</v>
      </c>
      <c r="F248" s="15" t="s">
        <v>214</v>
      </c>
      <c r="G248" s="15" t="s">
        <v>213</v>
      </c>
      <c r="I248" s="15">
        <v>1</v>
      </c>
    </row>
    <row r="249" spans="1:9" x14ac:dyDescent="0.55000000000000004">
      <c r="A249" s="15" t="str">
        <f>Table3[[#This Row],[Name (generated)]]</f>
        <v xml:space="preserve">D05 </v>
      </c>
      <c r="C249" s="15">
        <f>Table3[[#This Row],[Sequence]]</f>
        <v>0</v>
      </c>
      <c r="E249" s="15">
        <v>2.5000000000000001E-2</v>
      </c>
      <c r="F249" s="15" t="s">
        <v>214</v>
      </c>
      <c r="G249" s="15" t="s">
        <v>213</v>
      </c>
      <c r="I249" s="15">
        <v>1</v>
      </c>
    </row>
    <row r="250" spans="1:9" x14ac:dyDescent="0.55000000000000004">
      <c r="A250" s="15" t="str">
        <f>Table3[[#This Row],[Name (generated)]]</f>
        <v xml:space="preserve">D06 </v>
      </c>
      <c r="C250" s="15">
        <f>Table3[[#This Row],[Sequence]]</f>
        <v>0</v>
      </c>
      <c r="E250" s="15">
        <v>2.5000000000000001E-2</v>
      </c>
      <c r="F250" s="15" t="s">
        <v>214</v>
      </c>
      <c r="G250" s="15" t="s">
        <v>213</v>
      </c>
      <c r="I250" s="15">
        <v>1</v>
      </c>
    </row>
    <row r="251" spans="1:9" x14ac:dyDescent="0.55000000000000004">
      <c r="A251" s="15" t="str">
        <f>Table3[[#This Row],[Name (generated)]]</f>
        <v xml:space="preserve">D07 </v>
      </c>
      <c r="C251" s="15">
        <f>Table3[[#This Row],[Sequence]]</f>
        <v>0</v>
      </c>
      <c r="E251" s="15">
        <v>2.5000000000000001E-2</v>
      </c>
      <c r="F251" s="15" t="s">
        <v>214</v>
      </c>
      <c r="G251" s="15" t="s">
        <v>213</v>
      </c>
      <c r="I251" s="15">
        <v>1</v>
      </c>
    </row>
    <row r="252" spans="1:9" x14ac:dyDescent="0.55000000000000004">
      <c r="A252" s="15" t="str">
        <f>Table3[[#This Row],[Name (generated)]]</f>
        <v xml:space="preserve">D08 </v>
      </c>
      <c r="C252" s="15">
        <f>Table3[[#This Row],[Sequence]]</f>
        <v>0</v>
      </c>
      <c r="E252" s="15">
        <v>2.5000000000000001E-2</v>
      </c>
      <c r="F252" s="15" t="s">
        <v>214</v>
      </c>
      <c r="G252" s="15" t="s">
        <v>213</v>
      </c>
      <c r="I252" s="15">
        <v>1</v>
      </c>
    </row>
    <row r="253" spans="1:9" x14ac:dyDescent="0.55000000000000004">
      <c r="A253" s="15" t="str">
        <f>Table3[[#This Row],[Name (generated)]]</f>
        <v xml:space="preserve">D09 </v>
      </c>
      <c r="C253" s="15">
        <f>Table3[[#This Row],[Sequence]]</f>
        <v>0</v>
      </c>
      <c r="E253" s="15">
        <v>2.5000000000000001E-2</v>
      </c>
      <c r="F253" s="15" t="s">
        <v>214</v>
      </c>
      <c r="G253" s="15" t="s">
        <v>213</v>
      </c>
      <c r="I253" s="15">
        <v>1</v>
      </c>
    </row>
    <row r="254" spans="1:9" x14ac:dyDescent="0.55000000000000004">
      <c r="A254" s="15" t="str">
        <f>Table3[[#This Row],[Name (generated)]]</f>
        <v xml:space="preserve">D10 </v>
      </c>
      <c r="C254" s="15">
        <f>Table3[[#This Row],[Sequence]]</f>
        <v>0</v>
      </c>
      <c r="E254" s="15">
        <v>2.5000000000000001E-2</v>
      </c>
      <c r="F254" s="15" t="s">
        <v>214</v>
      </c>
      <c r="G254" s="15" t="s">
        <v>213</v>
      </c>
      <c r="I254" s="15">
        <v>1</v>
      </c>
    </row>
    <row r="255" spans="1:9" x14ac:dyDescent="0.55000000000000004">
      <c r="A255" s="15" t="str">
        <f>Table3[[#This Row],[Name (generated)]]</f>
        <v xml:space="preserve">D11 </v>
      </c>
      <c r="C255" s="15">
        <f>Table3[[#This Row],[Sequence]]</f>
        <v>0</v>
      </c>
      <c r="E255" s="15">
        <v>2.5000000000000001E-2</v>
      </c>
      <c r="F255" s="15" t="s">
        <v>214</v>
      </c>
      <c r="G255" s="15" t="s">
        <v>213</v>
      </c>
      <c r="I255" s="15">
        <v>1</v>
      </c>
    </row>
    <row r="256" spans="1:9" x14ac:dyDescent="0.55000000000000004">
      <c r="A256" s="15" t="str">
        <f>Table3[[#This Row],[Name (generated)]]</f>
        <v xml:space="preserve">D12 </v>
      </c>
      <c r="C256" s="15">
        <f>Table3[[#This Row],[Sequence]]</f>
        <v>0</v>
      </c>
      <c r="E256" s="15">
        <v>2.5000000000000001E-2</v>
      </c>
      <c r="F256" s="15" t="s">
        <v>214</v>
      </c>
      <c r="G256" s="15" t="s">
        <v>213</v>
      </c>
      <c r="I256" s="15">
        <v>1</v>
      </c>
    </row>
    <row r="257" spans="1:9" x14ac:dyDescent="0.55000000000000004">
      <c r="A257" s="15" t="str">
        <f>Table3[[#This Row],[Name (generated)]]</f>
        <v xml:space="preserve">D13 </v>
      </c>
      <c r="C257" s="15">
        <f>Table3[[#This Row],[Sequence]]</f>
        <v>0</v>
      </c>
      <c r="E257" s="15">
        <v>2.5000000000000001E-2</v>
      </c>
      <c r="F257" s="15" t="s">
        <v>214</v>
      </c>
      <c r="G257" s="15" t="s">
        <v>213</v>
      </c>
      <c r="I257" s="15">
        <v>1</v>
      </c>
    </row>
    <row r="258" spans="1:9" x14ac:dyDescent="0.55000000000000004">
      <c r="A258" s="15" t="str">
        <f>Table3[[#This Row],[Name (generated)]]</f>
        <v xml:space="preserve">D14 </v>
      </c>
      <c r="C258" s="15">
        <f>Table3[[#This Row],[Sequence]]</f>
        <v>0</v>
      </c>
      <c r="E258" s="15">
        <v>2.5000000000000001E-2</v>
      </c>
      <c r="F258" s="15" t="s">
        <v>214</v>
      </c>
      <c r="G258" s="15" t="s">
        <v>213</v>
      </c>
      <c r="I258" s="15">
        <v>1</v>
      </c>
    </row>
    <row r="259" spans="1:9" x14ac:dyDescent="0.55000000000000004">
      <c r="A259" s="15" t="str">
        <f>Table3[[#This Row],[Name (generated)]]</f>
        <v xml:space="preserve">D15 </v>
      </c>
      <c r="C259" s="15">
        <f>Table3[[#This Row],[Sequence]]</f>
        <v>0</v>
      </c>
      <c r="E259" s="15">
        <v>2.5000000000000001E-2</v>
      </c>
      <c r="F259" s="15" t="s">
        <v>214</v>
      </c>
      <c r="G259" s="15" t="s">
        <v>213</v>
      </c>
      <c r="I259" s="15">
        <v>1</v>
      </c>
    </row>
    <row r="260" spans="1:9" x14ac:dyDescent="0.55000000000000004">
      <c r="A260" s="15" t="str">
        <f>Table3[[#This Row],[Name (generated)]]</f>
        <v xml:space="preserve">D16 </v>
      </c>
      <c r="C260" s="15">
        <f>Table3[[#This Row],[Sequence]]</f>
        <v>0</v>
      </c>
      <c r="E260" s="15">
        <v>2.5000000000000001E-2</v>
      </c>
      <c r="F260" s="15" t="s">
        <v>214</v>
      </c>
      <c r="G260" s="15" t="s">
        <v>213</v>
      </c>
      <c r="I260" s="15">
        <v>1</v>
      </c>
    </row>
    <row r="261" spans="1:9" x14ac:dyDescent="0.55000000000000004">
      <c r="A261" s="15" t="str">
        <f>Table3[[#This Row],[Name (generated)]]</f>
        <v xml:space="preserve">D17 </v>
      </c>
      <c r="C261" s="15">
        <f>Table3[[#This Row],[Sequence]]</f>
        <v>0</v>
      </c>
      <c r="E261" s="15">
        <v>2.5000000000000001E-2</v>
      </c>
      <c r="F261" s="15" t="s">
        <v>214</v>
      </c>
      <c r="G261" s="15" t="s">
        <v>213</v>
      </c>
      <c r="I261" s="15">
        <v>1</v>
      </c>
    </row>
    <row r="262" spans="1:9" x14ac:dyDescent="0.55000000000000004">
      <c r="A262" s="15" t="str">
        <f>Table3[[#This Row],[Name (generated)]]</f>
        <v xml:space="preserve">D18 </v>
      </c>
      <c r="C262" s="15">
        <f>Table3[[#This Row],[Sequence]]</f>
        <v>0</v>
      </c>
      <c r="E262" s="15">
        <v>2.5000000000000001E-2</v>
      </c>
      <c r="F262" s="15" t="s">
        <v>214</v>
      </c>
      <c r="G262" s="15" t="s">
        <v>213</v>
      </c>
      <c r="I262" s="15">
        <v>1</v>
      </c>
    </row>
    <row r="263" spans="1:9" x14ac:dyDescent="0.55000000000000004">
      <c r="A263" s="15" t="str">
        <f>Table3[[#This Row],[Name (generated)]]</f>
        <v xml:space="preserve">D19 </v>
      </c>
      <c r="C263" s="15">
        <f>Table3[[#This Row],[Sequence]]</f>
        <v>0</v>
      </c>
      <c r="E263" s="15">
        <v>2.5000000000000001E-2</v>
      </c>
      <c r="F263" s="15" t="s">
        <v>214</v>
      </c>
      <c r="G263" s="15" t="s">
        <v>213</v>
      </c>
      <c r="I263" s="15">
        <v>1</v>
      </c>
    </row>
    <row r="264" spans="1:9" x14ac:dyDescent="0.55000000000000004">
      <c r="A264" s="15" t="str">
        <f>Table3[[#This Row],[Name (generated)]]</f>
        <v xml:space="preserve">D20 </v>
      </c>
      <c r="C264" s="15">
        <f>Table3[[#This Row],[Sequence]]</f>
        <v>0</v>
      </c>
      <c r="E264" s="15">
        <v>2.5000000000000001E-2</v>
      </c>
      <c r="F264" s="15" t="s">
        <v>214</v>
      </c>
      <c r="G264" s="15" t="s">
        <v>213</v>
      </c>
      <c r="I264" s="15">
        <v>1</v>
      </c>
    </row>
    <row r="265" spans="1:9" x14ac:dyDescent="0.55000000000000004">
      <c r="A265" s="15" t="str">
        <f>Table3[[#This Row],[Name (generated)]]</f>
        <v xml:space="preserve">D21 </v>
      </c>
      <c r="C265" s="15">
        <f>Table3[[#This Row],[Sequence]]</f>
        <v>0</v>
      </c>
      <c r="E265" s="15">
        <v>2.5000000000000001E-2</v>
      </c>
      <c r="F265" s="15" t="s">
        <v>214</v>
      </c>
      <c r="G265" s="15" t="s">
        <v>213</v>
      </c>
      <c r="I265" s="15">
        <v>1</v>
      </c>
    </row>
    <row r="266" spans="1:9" x14ac:dyDescent="0.55000000000000004">
      <c r="A266" s="15" t="str">
        <f>Table3[[#This Row],[Name (generated)]]</f>
        <v xml:space="preserve">D22 </v>
      </c>
      <c r="C266" s="15">
        <f>Table3[[#This Row],[Sequence]]</f>
        <v>0</v>
      </c>
      <c r="E266" s="15">
        <v>2.5000000000000001E-2</v>
      </c>
      <c r="F266" s="15" t="s">
        <v>214</v>
      </c>
      <c r="G266" s="15" t="s">
        <v>213</v>
      </c>
      <c r="I266" s="15">
        <v>1</v>
      </c>
    </row>
    <row r="267" spans="1:9" x14ac:dyDescent="0.55000000000000004">
      <c r="A267" s="15" t="str">
        <f>Table3[[#This Row],[Name (generated)]]</f>
        <v xml:space="preserve">D23 </v>
      </c>
      <c r="C267" s="15">
        <f>Table3[[#This Row],[Sequence]]</f>
        <v>0</v>
      </c>
      <c r="E267" s="15">
        <v>2.5000000000000001E-2</v>
      </c>
      <c r="F267" s="15" t="s">
        <v>214</v>
      </c>
      <c r="G267" s="15" t="s">
        <v>213</v>
      </c>
      <c r="I267" s="15">
        <v>1</v>
      </c>
    </row>
    <row r="268" spans="1:9" x14ac:dyDescent="0.55000000000000004">
      <c r="A268" s="15" t="str">
        <f>Table3[[#This Row],[Name (generated)]]</f>
        <v xml:space="preserve">D24 </v>
      </c>
      <c r="C268" s="15">
        <f>Table3[[#This Row],[Sequence]]</f>
        <v>0</v>
      </c>
      <c r="E268" s="15">
        <v>2.5000000000000001E-2</v>
      </c>
      <c r="F268" s="15" t="s">
        <v>214</v>
      </c>
      <c r="G268" s="15" t="s">
        <v>213</v>
      </c>
      <c r="I268" s="15">
        <v>1</v>
      </c>
    </row>
    <row r="269" spans="1:9" x14ac:dyDescent="0.55000000000000004">
      <c r="A269" s="15" t="str">
        <f>Table3[[#This Row],[Name (generated)]]</f>
        <v xml:space="preserve">D25 </v>
      </c>
      <c r="C269" s="15">
        <f>Table3[[#This Row],[Sequence]]</f>
        <v>0</v>
      </c>
      <c r="E269" s="15">
        <v>2.5000000000000001E-2</v>
      </c>
      <c r="F269" s="15" t="s">
        <v>214</v>
      </c>
      <c r="G269" s="15" t="s">
        <v>213</v>
      </c>
      <c r="I269" s="15">
        <v>1</v>
      </c>
    </row>
    <row r="270" spans="1:9" x14ac:dyDescent="0.55000000000000004">
      <c r="A270" s="15" t="str">
        <f>Table3[[#This Row],[Name (generated)]]</f>
        <v xml:space="preserve">D26 </v>
      </c>
      <c r="C270" s="15">
        <f>Table3[[#This Row],[Sequence]]</f>
        <v>0</v>
      </c>
      <c r="E270" s="15">
        <v>2.5000000000000001E-2</v>
      </c>
      <c r="F270" s="15" t="s">
        <v>214</v>
      </c>
      <c r="G270" s="15" t="s">
        <v>213</v>
      </c>
      <c r="I270" s="15">
        <v>1</v>
      </c>
    </row>
    <row r="271" spans="1:9" x14ac:dyDescent="0.55000000000000004">
      <c r="A271" s="15" t="str">
        <f>Table3[[#This Row],[Name (generated)]]</f>
        <v xml:space="preserve">D27 </v>
      </c>
      <c r="C271" s="15">
        <f>Table3[[#This Row],[Sequence]]</f>
        <v>0</v>
      </c>
      <c r="E271" s="15">
        <v>2.5000000000000001E-2</v>
      </c>
      <c r="F271" s="15" t="s">
        <v>214</v>
      </c>
      <c r="G271" s="15" t="s">
        <v>213</v>
      </c>
      <c r="I271" s="15">
        <v>1</v>
      </c>
    </row>
    <row r="272" spans="1:9" x14ac:dyDescent="0.55000000000000004">
      <c r="A272" s="15" t="str">
        <f>Table3[[#This Row],[Name (generated)]]</f>
        <v xml:space="preserve">D28 </v>
      </c>
      <c r="C272" s="15">
        <f>Table3[[#This Row],[Sequence]]</f>
        <v>0</v>
      </c>
      <c r="E272" s="15">
        <v>2.5000000000000001E-2</v>
      </c>
      <c r="F272" s="15" t="s">
        <v>214</v>
      </c>
      <c r="G272" s="15" t="s">
        <v>213</v>
      </c>
      <c r="I272" s="15">
        <v>1</v>
      </c>
    </row>
    <row r="273" spans="1:9" x14ac:dyDescent="0.55000000000000004">
      <c r="A273" s="15" t="str">
        <f>Table3[[#This Row],[Name (generated)]]</f>
        <v xml:space="preserve">D29 </v>
      </c>
      <c r="C273" s="15">
        <f>Table3[[#This Row],[Sequence]]</f>
        <v>0</v>
      </c>
      <c r="E273" s="15">
        <v>2.5000000000000001E-2</v>
      </c>
      <c r="F273" s="15" t="s">
        <v>214</v>
      </c>
      <c r="G273" s="15" t="s">
        <v>213</v>
      </c>
      <c r="I273" s="15">
        <v>1</v>
      </c>
    </row>
    <row r="274" spans="1:9" x14ac:dyDescent="0.55000000000000004">
      <c r="A274" s="15" t="str">
        <f>Table3[[#This Row],[Name (generated)]]</f>
        <v xml:space="preserve">D30 </v>
      </c>
      <c r="C274" s="15">
        <f>Table3[[#This Row],[Sequence]]</f>
        <v>0</v>
      </c>
      <c r="E274" s="15">
        <v>2.5000000000000001E-2</v>
      </c>
      <c r="F274" s="15" t="s">
        <v>214</v>
      </c>
      <c r="G274" s="15" t="s">
        <v>213</v>
      </c>
      <c r="I274" s="15">
        <v>1</v>
      </c>
    </row>
    <row r="275" spans="1:9" x14ac:dyDescent="0.55000000000000004">
      <c r="A275" s="15" t="str">
        <f>Table3[[#This Row],[Name (generated)]]</f>
        <v xml:space="preserve">D31 </v>
      </c>
      <c r="C275" s="15">
        <f>Table3[[#This Row],[Sequence]]</f>
        <v>0</v>
      </c>
      <c r="E275" s="15">
        <v>2.5000000000000001E-2</v>
      </c>
      <c r="F275" s="15" t="s">
        <v>214</v>
      </c>
      <c r="G275" s="15" t="s">
        <v>213</v>
      </c>
      <c r="I275" s="15">
        <v>1</v>
      </c>
    </row>
    <row r="276" spans="1:9" x14ac:dyDescent="0.55000000000000004">
      <c r="A276" s="15" t="str">
        <f>Table3[[#This Row],[Name (generated)]]</f>
        <v xml:space="preserve">D32 </v>
      </c>
      <c r="C276" s="15">
        <f>Table3[[#This Row],[Sequence]]</f>
        <v>0</v>
      </c>
      <c r="E276" s="15">
        <v>2.5000000000000001E-2</v>
      </c>
      <c r="F276" s="15" t="s">
        <v>214</v>
      </c>
      <c r="G276" s="15" t="s">
        <v>213</v>
      </c>
      <c r="I276" s="15">
        <v>1</v>
      </c>
    </row>
    <row r="277" spans="1:9" x14ac:dyDescent="0.55000000000000004">
      <c r="A277" s="15" t="str">
        <f>Table3[[#This Row],[Name (generated)]]</f>
        <v xml:space="preserve">D33 </v>
      </c>
      <c r="C277" s="15">
        <f>Table3[[#This Row],[Sequence]]</f>
        <v>0</v>
      </c>
      <c r="E277" s="15">
        <v>2.5000000000000001E-2</v>
      </c>
      <c r="F277" s="15" t="s">
        <v>214</v>
      </c>
      <c r="G277" s="15" t="s">
        <v>213</v>
      </c>
      <c r="I277" s="15">
        <v>1</v>
      </c>
    </row>
    <row r="278" spans="1:9" x14ac:dyDescent="0.55000000000000004">
      <c r="A278" s="15" t="str">
        <f>Table3[[#This Row],[Name (generated)]]</f>
        <v xml:space="preserve">D34 </v>
      </c>
      <c r="C278" s="15">
        <f>Table3[[#This Row],[Sequence]]</f>
        <v>0</v>
      </c>
      <c r="E278" s="15">
        <v>2.5000000000000001E-2</v>
      </c>
      <c r="F278" s="15" t="s">
        <v>214</v>
      </c>
      <c r="G278" s="15" t="s">
        <v>213</v>
      </c>
      <c r="I278" s="15">
        <v>1</v>
      </c>
    </row>
    <row r="279" spans="1:9" x14ac:dyDescent="0.55000000000000004">
      <c r="A279" s="15" t="str">
        <f>Table3[[#This Row],[Name (generated)]]</f>
        <v xml:space="preserve">D35 </v>
      </c>
      <c r="C279" s="15">
        <f>Table3[[#This Row],[Sequence]]</f>
        <v>0</v>
      </c>
      <c r="E279" s="15">
        <v>2.5000000000000001E-2</v>
      </c>
      <c r="F279" s="15" t="s">
        <v>214</v>
      </c>
      <c r="G279" s="15" t="s">
        <v>213</v>
      </c>
      <c r="I279" s="15">
        <v>1</v>
      </c>
    </row>
    <row r="280" spans="1:9" x14ac:dyDescent="0.55000000000000004">
      <c r="A280" s="15" t="str">
        <f>Table3[[#This Row],[Name (generated)]]</f>
        <v xml:space="preserve">D36 </v>
      </c>
      <c r="C280" s="15">
        <f>Table3[[#This Row],[Sequence]]</f>
        <v>0</v>
      </c>
      <c r="E280" s="15">
        <v>2.5000000000000001E-2</v>
      </c>
      <c r="F280" s="15" t="s">
        <v>214</v>
      </c>
      <c r="G280" s="15" t="s">
        <v>213</v>
      </c>
      <c r="I280" s="15">
        <v>1</v>
      </c>
    </row>
    <row r="281" spans="1:9" x14ac:dyDescent="0.55000000000000004">
      <c r="A281" s="15" t="str">
        <f>Table3[[#This Row],[Name (generated)]]</f>
        <v xml:space="preserve">D37 </v>
      </c>
      <c r="C281" s="15">
        <f>Table3[[#This Row],[Sequence]]</f>
        <v>0</v>
      </c>
      <c r="E281" s="15">
        <v>2.5000000000000001E-2</v>
      </c>
      <c r="F281" s="15" t="s">
        <v>214</v>
      </c>
      <c r="G281" s="15" t="s">
        <v>213</v>
      </c>
      <c r="I281" s="15">
        <v>1</v>
      </c>
    </row>
    <row r="282" spans="1:9" x14ac:dyDescent="0.55000000000000004">
      <c r="A282" s="15" t="str">
        <f>Table3[[#This Row],[Name (generated)]]</f>
        <v xml:space="preserve">D38 </v>
      </c>
      <c r="C282" s="15">
        <f>Table3[[#This Row],[Sequence]]</f>
        <v>0</v>
      </c>
      <c r="E282" s="15">
        <v>2.5000000000000001E-2</v>
      </c>
      <c r="F282" s="15" t="s">
        <v>214</v>
      </c>
      <c r="G282" s="15" t="s">
        <v>213</v>
      </c>
      <c r="I282" s="15">
        <v>1</v>
      </c>
    </row>
    <row r="283" spans="1:9" x14ac:dyDescent="0.55000000000000004">
      <c r="A283" s="15" t="str">
        <f>Table3[[#This Row],[Name (generated)]]</f>
        <v xml:space="preserve">D39 </v>
      </c>
      <c r="C283" s="15">
        <f>Table3[[#This Row],[Sequence]]</f>
        <v>0</v>
      </c>
      <c r="E283" s="15">
        <v>2.5000000000000001E-2</v>
      </c>
      <c r="F283" s="15" t="s">
        <v>214</v>
      </c>
      <c r="G283" s="15" t="s">
        <v>213</v>
      </c>
      <c r="I283" s="15">
        <v>1</v>
      </c>
    </row>
    <row r="284" spans="1:9" x14ac:dyDescent="0.55000000000000004">
      <c r="A284" s="15" t="str">
        <f>Table3[[#This Row],[Name (generated)]]</f>
        <v xml:space="preserve">D40 </v>
      </c>
      <c r="C284" s="15">
        <f>Table3[[#This Row],[Sequence]]</f>
        <v>0</v>
      </c>
      <c r="E284" s="15">
        <v>2.5000000000000001E-2</v>
      </c>
      <c r="F284" s="15" t="s">
        <v>214</v>
      </c>
      <c r="G284" s="15" t="s">
        <v>213</v>
      </c>
      <c r="I284" s="15">
        <v>1</v>
      </c>
    </row>
    <row r="285" spans="1:9" x14ac:dyDescent="0.55000000000000004">
      <c r="A285" s="15" t="str">
        <f>Table3[[#This Row],[Name (generated)]]</f>
        <v xml:space="preserve">D41 </v>
      </c>
      <c r="C285" s="15">
        <f>Table3[[#This Row],[Sequence]]</f>
        <v>0</v>
      </c>
      <c r="E285" s="15">
        <v>2.5000000000000001E-2</v>
      </c>
      <c r="F285" s="15" t="s">
        <v>214</v>
      </c>
      <c r="G285" s="15" t="s">
        <v>213</v>
      </c>
      <c r="I285" s="15">
        <v>1</v>
      </c>
    </row>
    <row r="286" spans="1:9" x14ac:dyDescent="0.55000000000000004">
      <c r="A286" s="15" t="str">
        <f>Table3[[#This Row],[Name (generated)]]</f>
        <v xml:space="preserve">D42 </v>
      </c>
      <c r="C286" s="15">
        <f>Table3[[#This Row],[Sequence]]</f>
        <v>0</v>
      </c>
      <c r="E286" s="15">
        <v>2.5000000000000001E-2</v>
      </c>
      <c r="F286" s="15" t="s">
        <v>214</v>
      </c>
      <c r="G286" s="15" t="s">
        <v>213</v>
      </c>
      <c r="I286" s="15">
        <v>1</v>
      </c>
    </row>
    <row r="287" spans="1:9" x14ac:dyDescent="0.55000000000000004">
      <c r="A287" s="15" t="str">
        <f>Table3[[#This Row],[Name (generated)]]</f>
        <v xml:space="preserve">D43 </v>
      </c>
      <c r="C287" s="15">
        <f>Table3[[#This Row],[Sequence]]</f>
        <v>0</v>
      </c>
      <c r="E287" s="15">
        <v>2.5000000000000001E-2</v>
      </c>
      <c r="F287" s="15" t="s">
        <v>214</v>
      </c>
      <c r="G287" s="15" t="s">
        <v>213</v>
      </c>
      <c r="I287" s="15">
        <v>1</v>
      </c>
    </row>
    <row r="288" spans="1:9" x14ac:dyDescent="0.55000000000000004">
      <c r="A288" s="15" t="str">
        <f>Table3[[#This Row],[Name (generated)]]</f>
        <v xml:space="preserve">D44 </v>
      </c>
      <c r="C288" s="15">
        <f>Table3[[#This Row],[Sequence]]</f>
        <v>0</v>
      </c>
      <c r="E288" s="15">
        <v>2.5000000000000001E-2</v>
      </c>
      <c r="F288" s="15" t="s">
        <v>214</v>
      </c>
      <c r="G288" s="15" t="s">
        <v>213</v>
      </c>
      <c r="I288" s="15">
        <v>1</v>
      </c>
    </row>
    <row r="289" spans="1:9" x14ac:dyDescent="0.55000000000000004">
      <c r="A289" s="15" t="str">
        <f>Table3[[#This Row],[Name (generated)]]</f>
        <v xml:space="preserve">D45 </v>
      </c>
      <c r="C289" s="15">
        <f>Table3[[#This Row],[Sequence]]</f>
        <v>0</v>
      </c>
      <c r="E289" s="15">
        <v>2.5000000000000001E-2</v>
      </c>
      <c r="F289" s="15" t="s">
        <v>214</v>
      </c>
      <c r="G289" s="15" t="s">
        <v>213</v>
      </c>
      <c r="I289" s="15">
        <v>1</v>
      </c>
    </row>
    <row r="290" spans="1:9" x14ac:dyDescent="0.55000000000000004">
      <c r="A290" s="15" t="str">
        <f>Table3[[#This Row],[Name (generated)]]</f>
        <v xml:space="preserve">D46 </v>
      </c>
      <c r="C290" s="15">
        <f>Table3[[#This Row],[Sequence]]</f>
        <v>0</v>
      </c>
      <c r="E290" s="15">
        <v>2.5000000000000001E-2</v>
      </c>
      <c r="F290" s="15" t="s">
        <v>214</v>
      </c>
      <c r="G290" s="15" t="s">
        <v>213</v>
      </c>
      <c r="I290" s="15">
        <v>1</v>
      </c>
    </row>
    <row r="291" spans="1:9" x14ac:dyDescent="0.55000000000000004">
      <c r="A291" s="15" t="str">
        <f>Table3[[#This Row],[Name (generated)]]</f>
        <v xml:space="preserve">D47 </v>
      </c>
      <c r="C291" s="15">
        <f>Table3[[#This Row],[Sequence]]</f>
        <v>0</v>
      </c>
      <c r="E291" s="15">
        <v>2.5000000000000001E-2</v>
      </c>
      <c r="F291" s="15" t="s">
        <v>214</v>
      </c>
      <c r="G291" s="15" t="s">
        <v>213</v>
      </c>
      <c r="I291" s="15">
        <v>1</v>
      </c>
    </row>
    <row r="292" spans="1:9" x14ac:dyDescent="0.55000000000000004">
      <c r="A292" s="15" t="str">
        <f>Table3[[#This Row],[Name (generated)]]</f>
        <v xml:space="preserve">D48 </v>
      </c>
      <c r="C292" s="15">
        <f>Table3[[#This Row],[Sequence]]</f>
        <v>0</v>
      </c>
      <c r="E292" s="15">
        <v>2.5000000000000001E-2</v>
      </c>
      <c r="F292" s="15" t="s">
        <v>214</v>
      </c>
      <c r="G292" s="15" t="s">
        <v>213</v>
      </c>
      <c r="I292" s="15">
        <v>1</v>
      </c>
    </row>
    <row r="293" spans="1:9" x14ac:dyDescent="0.55000000000000004">
      <c r="A293" s="15" t="str">
        <f>Table3[[#This Row],[Name (generated)]]</f>
        <v xml:space="preserve">D49 </v>
      </c>
      <c r="C293" s="15">
        <f>Table3[[#This Row],[Sequence]]</f>
        <v>0</v>
      </c>
      <c r="E293" s="15">
        <v>2.5000000000000001E-2</v>
      </c>
      <c r="F293" s="15" t="s">
        <v>214</v>
      </c>
      <c r="G293" s="15" t="s">
        <v>213</v>
      </c>
      <c r="I293" s="15">
        <v>1</v>
      </c>
    </row>
    <row r="294" spans="1:9" x14ac:dyDescent="0.55000000000000004">
      <c r="A294" s="15" t="str">
        <f>Table3[[#This Row],[Name (generated)]]</f>
        <v xml:space="preserve">D50 </v>
      </c>
      <c r="C294" s="15">
        <f>Table3[[#This Row],[Sequence]]</f>
        <v>0</v>
      </c>
      <c r="E294" s="15">
        <v>2.5000000000000001E-2</v>
      </c>
      <c r="F294" s="15" t="s">
        <v>214</v>
      </c>
      <c r="G294" s="15" t="s">
        <v>213</v>
      </c>
      <c r="I294" s="15">
        <v>1</v>
      </c>
    </row>
    <row r="295" spans="1:9" x14ac:dyDescent="0.55000000000000004">
      <c r="A295" s="15" t="str">
        <f>Table3[[#This Row],[Name (generated)]]</f>
        <v xml:space="preserve">D51 </v>
      </c>
      <c r="C295" s="15">
        <f>Table3[[#This Row],[Sequence]]</f>
        <v>0</v>
      </c>
      <c r="E295" s="15">
        <v>2.5000000000000001E-2</v>
      </c>
      <c r="F295" s="15" t="s">
        <v>214</v>
      </c>
      <c r="G295" s="15" t="s">
        <v>213</v>
      </c>
      <c r="I295" s="15">
        <v>1</v>
      </c>
    </row>
    <row r="296" spans="1:9" x14ac:dyDescent="0.55000000000000004">
      <c r="A296" s="15" t="str">
        <f>Table3[[#This Row],[Name (generated)]]</f>
        <v xml:space="preserve">D52 </v>
      </c>
      <c r="C296" s="15">
        <f>Table3[[#This Row],[Sequence]]</f>
        <v>0</v>
      </c>
      <c r="E296" s="15">
        <v>2.5000000000000001E-2</v>
      </c>
      <c r="F296" s="15" t="s">
        <v>214</v>
      </c>
      <c r="G296" s="15" t="s">
        <v>213</v>
      </c>
      <c r="I296" s="15">
        <v>1</v>
      </c>
    </row>
    <row r="297" spans="1:9" x14ac:dyDescent="0.55000000000000004">
      <c r="A297" s="15" t="str">
        <f>Table3[[#This Row],[Name (generated)]]</f>
        <v xml:space="preserve">D53 </v>
      </c>
      <c r="C297" s="15">
        <f>Table3[[#This Row],[Sequence]]</f>
        <v>0</v>
      </c>
      <c r="E297" s="15">
        <v>2.5000000000000001E-2</v>
      </c>
      <c r="F297" s="15" t="s">
        <v>214</v>
      </c>
      <c r="G297" s="15" t="s">
        <v>213</v>
      </c>
      <c r="I297" s="15">
        <v>1</v>
      </c>
    </row>
    <row r="298" spans="1:9" x14ac:dyDescent="0.55000000000000004">
      <c r="A298" s="15" t="str">
        <f>Table3[[#This Row],[Name (generated)]]</f>
        <v xml:space="preserve">D54 </v>
      </c>
      <c r="C298" s="15">
        <f>Table3[[#This Row],[Sequence]]</f>
        <v>0</v>
      </c>
      <c r="E298" s="15">
        <v>2.5000000000000001E-2</v>
      </c>
      <c r="F298" s="15" t="s">
        <v>214</v>
      </c>
      <c r="G298" s="15" t="s">
        <v>213</v>
      </c>
      <c r="I298" s="15">
        <v>1</v>
      </c>
    </row>
    <row r="299" spans="1:9" x14ac:dyDescent="0.55000000000000004">
      <c r="A299" s="15" t="str">
        <f>Table3[[#This Row],[Name (generated)]]</f>
        <v xml:space="preserve">D55 </v>
      </c>
      <c r="C299" s="15">
        <f>Table3[[#This Row],[Sequence]]</f>
        <v>0</v>
      </c>
      <c r="E299" s="15">
        <v>2.5000000000000001E-2</v>
      </c>
      <c r="F299" s="15" t="s">
        <v>214</v>
      </c>
      <c r="G299" s="15" t="s">
        <v>213</v>
      </c>
      <c r="I299" s="15">
        <v>1</v>
      </c>
    </row>
    <row r="300" spans="1:9" x14ac:dyDescent="0.55000000000000004">
      <c r="A300" s="15" t="str">
        <f>Table3[[#This Row],[Name (generated)]]</f>
        <v xml:space="preserve">D56 </v>
      </c>
      <c r="C300" s="15">
        <f>Table3[[#This Row],[Sequence]]</f>
        <v>0</v>
      </c>
      <c r="E300" s="15">
        <v>2.5000000000000001E-2</v>
      </c>
      <c r="F300" s="15" t="s">
        <v>214</v>
      </c>
      <c r="G300" s="15" t="s">
        <v>213</v>
      </c>
      <c r="I300" s="15">
        <v>1</v>
      </c>
    </row>
    <row r="301" spans="1:9" x14ac:dyDescent="0.55000000000000004">
      <c r="A301" s="15" t="str">
        <f>Table3[[#This Row],[Name (generated)]]</f>
        <v xml:space="preserve">D57 </v>
      </c>
      <c r="C301" s="15">
        <f>Table3[[#This Row],[Sequence]]</f>
        <v>0</v>
      </c>
      <c r="E301" s="15">
        <v>2.5000000000000001E-2</v>
      </c>
      <c r="F301" s="15" t="s">
        <v>214</v>
      </c>
      <c r="G301" s="15" t="s">
        <v>213</v>
      </c>
      <c r="I301" s="15">
        <v>1</v>
      </c>
    </row>
    <row r="302" spans="1:9" x14ac:dyDescent="0.55000000000000004">
      <c r="A302" s="15" t="str">
        <f>Table3[[#This Row],[Name (generated)]]</f>
        <v xml:space="preserve">D58 </v>
      </c>
      <c r="C302" s="15">
        <f>Table3[[#This Row],[Sequence]]</f>
        <v>0</v>
      </c>
      <c r="E302" s="15">
        <v>2.5000000000000001E-2</v>
      </c>
      <c r="F302" s="15" t="s">
        <v>214</v>
      </c>
      <c r="G302" s="15" t="s">
        <v>213</v>
      </c>
      <c r="I302" s="15">
        <v>1</v>
      </c>
    </row>
    <row r="303" spans="1:9" x14ac:dyDescent="0.55000000000000004">
      <c r="A303" s="15" t="str">
        <f>Table3[[#This Row],[Name (generated)]]</f>
        <v xml:space="preserve">D59 </v>
      </c>
      <c r="C303" s="15">
        <f>Table3[[#This Row],[Sequence]]</f>
        <v>0</v>
      </c>
      <c r="E303" s="15">
        <v>2.5000000000000001E-2</v>
      </c>
      <c r="F303" s="15" t="s">
        <v>214</v>
      </c>
      <c r="G303" s="15" t="s">
        <v>213</v>
      </c>
      <c r="I303" s="15">
        <v>1</v>
      </c>
    </row>
    <row r="304" spans="1:9" x14ac:dyDescent="0.55000000000000004">
      <c r="A304" s="15" t="str">
        <f>Table3[[#This Row],[Name (generated)]]</f>
        <v xml:space="preserve">D60 </v>
      </c>
      <c r="C304" s="15">
        <f>Table3[[#This Row],[Sequence]]</f>
        <v>0</v>
      </c>
      <c r="E304" s="15">
        <v>2.5000000000000001E-2</v>
      </c>
      <c r="F304" s="15" t="s">
        <v>214</v>
      </c>
      <c r="G304" s="15" t="s">
        <v>213</v>
      </c>
      <c r="I304" s="15">
        <v>1</v>
      </c>
    </row>
    <row r="305" spans="1:9" x14ac:dyDescent="0.55000000000000004">
      <c r="A305" s="15" t="str">
        <f>Table3[[#This Row],[Name (generated)]]</f>
        <v xml:space="preserve">D61 </v>
      </c>
      <c r="C305" s="15">
        <f>Table3[[#This Row],[Sequence]]</f>
        <v>0</v>
      </c>
      <c r="E305" s="15">
        <v>2.5000000000000001E-2</v>
      </c>
      <c r="F305" s="15" t="s">
        <v>214</v>
      </c>
      <c r="G305" s="15" t="s">
        <v>213</v>
      </c>
      <c r="I305" s="15">
        <v>1</v>
      </c>
    </row>
    <row r="306" spans="1:9" x14ac:dyDescent="0.55000000000000004">
      <c r="A306" s="15" t="str">
        <f>Table3[[#This Row],[Name (generated)]]</f>
        <v xml:space="preserve">D62 </v>
      </c>
      <c r="C306" s="15">
        <f>Table3[[#This Row],[Sequence]]</f>
        <v>0</v>
      </c>
      <c r="E306" s="15">
        <v>2.5000000000000001E-2</v>
      </c>
      <c r="F306" s="15" t="s">
        <v>214</v>
      </c>
      <c r="G306" s="15" t="s">
        <v>213</v>
      </c>
      <c r="I306" s="15">
        <v>1</v>
      </c>
    </row>
    <row r="307" spans="1:9" x14ac:dyDescent="0.55000000000000004">
      <c r="A307" s="15" t="str">
        <f>Table3[[#This Row],[Name (generated)]]</f>
        <v xml:space="preserve">D63 </v>
      </c>
      <c r="C307" s="15">
        <f>Table3[[#This Row],[Sequence]]</f>
        <v>0</v>
      </c>
      <c r="E307" s="15">
        <v>2.5000000000000001E-2</v>
      </c>
      <c r="F307" s="15" t="s">
        <v>214</v>
      </c>
      <c r="G307" s="15" t="s">
        <v>213</v>
      </c>
      <c r="I307" s="15">
        <v>1</v>
      </c>
    </row>
    <row r="308" spans="1:9" x14ac:dyDescent="0.55000000000000004">
      <c r="A308" s="15" t="str">
        <f>Table3[[#This Row],[Name (generated)]]</f>
        <v xml:space="preserve">D64 </v>
      </c>
      <c r="C308" s="15">
        <f>Table3[[#This Row],[Sequence]]</f>
        <v>0</v>
      </c>
      <c r="E308" s="15">
        <v>2.5000000000000001E-2</v>
      </c>
      <c r="F308" s="15" t="s">
        <v>214</v>
      </c>
      <c r="G308" s="15" t="s">
        <v>213</v>
      </c>
      <c r="I308" s="15">
        <v>1</v>
      </c>
    </row>
    <row r="309" spans="1:9" x14ac:dyDescent="0.55000000000000004">
      <c r="A309" s="15" t="str">
        <f>Table3[[#This Row],[Name (generated)]]</f>
        <v xml:space="preserve">D65 </v>
      </c>
      <c r="C309" s="15">
        <f>Table3[[#This Row],[Sequence]]</f>
        <v>0</v>
      </c>
      <c r="E309" s="15">
        <v>2.5000000000000001E-2</v>
      </c>
      <c r="F309" s="15" t="s">
        <v>214</v>
      </c>
      <c r="G309" s="15" t="s">
        <v>213</v>
      </c>
      <c r="I309" s="15">
        <v>1</v>
      </c>
    </row>
    <row r="310" spans="1:9" x14ac:dyDescent="0.55000000000000004">
      <c r="A310" s="15" t="str">
        <f>Table3[[#This Row],[Name (generated)]]</f>
        <v xml:space="preserve">D66 </v>
      </c>
      <c r="C310" s="15">
        <f>Table3[[#This Row],[Sequence]]</f>
        <v>0</v>
      </c>
      <c r="E310" s="15">
        <v>2.5000000000000001E-2</v>
      </c>
      <c r="F310" s="15" t="s">
        <v>214</v>
      </c>
      <c r="G310" s="15" t="s">
        <v>213</v>
      </c>
      <c r="I310" s="15">
        <v>1</v>
      </c>
    </row>
    <row r="311" spans="1:9" x14ac:dyDescent="0.55000000000000004">
      <c r="A311" s="15" t="str">
        <f>Table3[[#This Row],[Name (generated)]]</f>
        <v xml:space="preserve">D67 </v>
      </c>
      <c r="C311" s="15">
        <f>Table3[[#This Row],[Sequence]]</f>
        <v>0</v>
      </c>
      <c r="E311" s="15">
        <v>2.5000000000000001E-2</v>
      </c>
      <c r="F311" s="15" t="s">
        <v>214</v>
      </c>
      <c r="G311" s="15" t="s">
        <v>213</v>
      </c>
      <c r="I311" s="15">
        <v>1</v>
      </c>
    </row>
    <row r="312" spans="1:9" x14ac:dyDescent="0.55000000000000004">
      <c r="A312" s="15" t="str">
        <f>Table3[[#This Row],[Name (generated)]]</f>
        <v xml:space="preserve">D68 </v>
      </c>
      <c r="C312" s="15">
        <f>Table3[[#This Row],[Sequence]]</f>
        <v>0</v>
      </c>
      <c r="E312" s="15">
        <v>2.5000000000000001E-2</v>
      </c>
      <c r="F312" s="15" t="s">
        <v>214</v>
      </c>
      <c r="G312" s="15" t="s">
        <v>213</v>
      </c>
      <c r="I312" s="15">
        <v>1</v>
      </c>
    </row>
    <row r="313" spans="1:9" x14ac:dyDescent="0.55000000000000004">
      <c r="A313" s="15" t="str">
        <f>Table3[[#This Row],[Name (generated)]]</f>
        <v xml:space="preserve">D69 </v>
      </c>
      <c r="C313" s="15">
        <f>Table3[[#This Row],[Sequence]]</f>
        <v>0</v>
      </c>
      <c r="E313" s="15">
        <v>2.5000000000000001E-2</v>
      </c>
      <c r="F313" s="15" t="s">
        <v>214</v>
      </c>
      <c r="G313" s="15" t="s">
        <v>213</v>
      </c>
      <c r="I313" s="15">
        <v>1</v>
      </c>
    </row>
    <row r="314" spans="1:9" x14ac:dyDescent="0.55000000000000004">
      <c r="A314" s="15" t="str">
        <f>Table3[[#This Row],[Name (generated)]]</f>
        <v xml:space="preserve">D70 </v>
      </c>
      <c r="C314" s="15">
        <f>Table3[[#This Row],[Sequence]]</f>
        <v>0</v>
      </c>
      <c r="E314" s="15">
        <v>2.5000000000000001E-2</v>
      </c>
      <c r="F314" s="15" t="s">
        <v>214</v>
      </c>
      <c r="G314" s="15" t="s">
        <v>213</v>
      </c>
      <c r="I314" s="15">
        <v>1</v>
      </c>
    </row>
    <row r="315" spans="1:9" x14ac:dyDescent="0.55000000000000004">
      <c r="A315" s="15" t="str">
        <f>Table3[[#This Row],[Name (generated)]]</f>
        <v xml:space="preserve">D71 </v>
      </c>
      <c r="C315" s="15">
        <f>Table3[[#This Row],[Sequence]]</f>
        <v>0</v>
      </c>
      <c r="E315" s="15">
        <v>2.5000000000000001E-2</v>
      </c>
      <c r="F315" s="15" t="s">
        <v>214</v>
      </c>
      <c r="G315" s="15" t="s">
        <v>213</v>
      </c>
      <c r="I315" s="15">
        <v>1</v>
      </c>
    </row>
    <row r="316" spans="1:9" x14ac:dyDescent="0.55000000000000004">
      <c r="A316" s="15" t="str">
        <f>Table3[[#This Row],[Name (generated)]]</f>
        <v xml:space="preserve">D72 </v>
      </c>
      <c r="C316" s="15">
        <f>Table3[[#This Row],[Sequence]]</f>
        <v>0</v>
      </c>
      <c r="E316" s="15">
        <v>2.5000000000000001E-2</v>
      </c>
      <c r="F316" s="15" t="s">
        <v>214</v>
      </c>
      <c r="G316" s="15" t="s">
        <v>213</v>
      </c>
      <c r="I316" s="15">
        <v>1</v>
      </c>
    </row>
    <row r="317" spans="1:9" x14ac:dyDescent="0.55000000000000004">
      <c r="A317" s="15" t="str">
        <f>Table3[[#This Row],[Name (generated)]]</f>
        <v xml:space="preserve">D73 </v>
      </c>
      <c r="C317" s="15">
        <f>Table3[[#This Row],[Sequence]]</f>
        <v>0</v>
      </c>
      <c r="E317" s="15">
        <v>2.5000000000000001E-2</v>
      </c>
      <c r="F317" s="15" t="s">
        <v>214</v>
      </c>
      <c r="G317" s="15" t="s">
        <v>213</v>
      </c>
      <c r="I317" s="15">
        <v>1</v>
      </c>
    </row>
    <row r="318" spans="1:9" x14ac:dyDescent="0.55000000000000004">
      <c r="A318" s="15" t="str">
        <f>Table3[[#This Row],[Name (generated)]]</f>
        <v xml:space="preserve">D74 </v>
      </c>
      <c r="C318" s="15">
        <f>Table3[[#This Row],[Sequence]]</f>
        <v>0</v>
      </c>
      <c r="E318" s="15">
        <v>2.5000000000000001E-2</v>
      </c>
      <c r="F318" s="15" t="s">
        <v>214</v>
      </c>
      <c r="G318" s="15" t="s">
        <v>213</v>
      </c>
      <c r="I318" s="15">
        <v>1</v>
      </c>
    </row>
    <row r="319" spans="1:9" x14ac:dyDescent="0.55000000000000004">
      <c r="A319" s="15" t="str">
        <f>Table3[[#This Row],[Name (generated)]]</f>
        <v xml:space="preserve">D75 </v>
      </c>
      <c r="C319" s="15">
        <f>Table3[[#This Row],[Sequence]]</f>
        <v>0</v>
      </c>
      <c r="E319" s="15">
        <v>2.5000000000000001E-2</v>
      </c>
      <c r="F319" s="15" t="s">
        <v>214</v>
      </c>
      <c r="G319" s="15" t="s">
        <v>213</v>
      </c>
      <c r="I319" s="15">
        <v>1</v>
      </c>
    </row>
    <row r="320" spans="1:9" x14ac:dyDescent="0.55000000000000004">
      <c r="A320" s="15" t="str">
        <f>Table3[[#This Row],[Name (generated)]]</f>
        <v xml:space="preserve">D76 </v>
      </c>
      <c r="C320" s="15">
        <f>Table3[[#This Row],[Sequence]]</f>
        <v>0</v>
      </c>
      <c r="E320" s="15">
        <v>2.5000000000000001E-2</v>
      </c>
      <c r="F320" s="15" t="s">
        <v>214</v>
      </c>
      <c r="G320" s="15" t="s">
        <v>213</v>
      </c>
      <c r="I320" s="15">
        <v>1</v>
      </c>
    </row>
    <row r="321" spans="1:9" x14ac:dyDescent="0.55000000000000004">
      <c r="A321" s="15" t="str">
        <f>Table3[[#This Row],[Name (generated)]]</f>
        <v xml:space="preserve">D77 </v>
      </c>
      <c r="C321" s="15">
        <f>Table3[[#This Row],[Sequence]]</f>
        <v>0</v>
      </c>
      <c r="E321" s="15">
        <v>2.5000000000000001E-2</v>
      </c>
      <c r="F321" s="15" t="s">
        <v>214</v>
      </c>
      <c r="G321" s="15" t="s">
        <v>213</v>
      </c>
      <c r="I321" s="15">
        <v>1</v>
      </c>
    </row>
    <row r="322" spans="1:9" x14ac:dyDescent="0.55000000000000004">
      <c r="A322" s="15" t="str">
        <f>Table3[[#This Row],[Name (generated)]]</f>
        <v xml:space="preserve">D78 </v>
      </c>
      <c r="C322" s="15">
        <f>Table3[[#This Row],[Sequence]]</f>
        <v>0</v>
      </c>
      <c r="E322" s="15">
        <v>2.5000000000000001E-2</v>
      </c>
      <c r="F322" s="15" t="s">
        <v>214</v>
      </c>
      <c r="G322" s="15" t="s">
        <v>213</v>
      </c>
      <c r="I322" s="15">
        <v>1</v>
      </c>
    </row>
    <row r="323" spans="1:9" x14ac:dyDescent="0.55000000000000004">
      <c r="A323" s="15" t="str">
        <f>Table3[[#This Row],[Name (generated)]]</f>
        <v xml:space="preserve">D79 </v>
      </c>
      <c r="C323" s="15">
        <f>Table3[[#This Row],[Sequence]]</f>
        <v>0</v>
      </c>
      <c r="E323" s="15">
        <v>2.5000000000000001E-2</v>
      </c>
      <c r="F323" s="15" t="s">
        <v>214</v>
      </c>
      <c r="G323" s="15" t="s">
        <v>213</v>
      </c>
      <c r="I323" s="15">
        <v>1</v>
      </c>
    </row>
    <row r="324" spans="1:9" x14ac:dyDescent="0.55000000000000004">
      <c r="A324" s="15" t="str">
        <f>Table3[[#This Row],[Name (generated)]]</f>
        <v xml:space="preserve">D80 </v>
      </c>
      <c r="C324" s="15">
        <f>Table3[[#This Row],[Sequence]]</f>
        <v>0</v>
      </c>
      <c r="E324" s="15">
        <v>2.5000000000000001E-2</v>
      </c>
      <c r="F324" s="15" t="s">
        <v>214</v>
      </c>
      <c r="G324" s="15" t="s">
        <v>213</v>
      </c>
      <c r="I324" s="15">
        <v>1</v>
      </c>
    </row>
    <row r="325" spans="1:9" x14ac:dyDescent="0.55000000000000004">
      <c r="A325" s="15" t="str">
        <f>Table3[[#This Row],[Name (generated)]]</f>
        <v xml:space="preserve">D81 </v>
      </c>
      <c r="C325" s="15">
        <f>Table3[[#This Row],[Sequence]]</f>
        <v>0</v>
      </c>
      <c r="E325" s="15">
        <v>2.5000000000000001E-2</v>
      </c>
      <c r="F325" s="15" t="s">
        <v>214</v>
      </c>
      <c r="G325" s="15" t="s">
        <v>213</v>
      </c>
      <c r="I325" s="15">
        <v>1</v>
      </c>
    </row>
    <row r="326" spans="1:9" x14ac:dyDescent="0.55000000000000004">
      <c r="A326" s="15" t="str">
        <f>Table3[[#This Row],[Name (generated)]]</f>
        <v xml:space="preserve">E01 </v>
      </c>
      <c r="C326" s="15">
        <f>Table3[[#This Row],[Sequence]]</f>
        <v>0</v>
      </c>
      <c r="E326" s="15">
        <v>2.5000000000000001E-2</v>
      </c>
      <c r="F326" s="15" t="s">
        <v>214</v>
      </c>
      <c r="G326" s="15" t="s">
        <v>213</v>
      </c>
      <c r="I326" s="15">
        <v>1</v>
      </c>
    </row>
    <row r="327" spans="1:9" x14ac:dyDescent="0.55000000000000004">
      <c r="A327" s="15" t="str">
        <f>Table3[[#This Row],[Name (generated)]]</f>
        <v xml:space="preserve">E02 </v>
      </c>
      <c r="C327" s="15">
        <f>Table3[[#This Row],[Sequence]]</f>
        <v>0</v>
      </c>
      <c r="E327" s="15">
        <v>2.5000000000000001E-2</v>
      </c>
      <c r="F327" s="15" t="s">
        <v>214</v>
      </c>
      <c r="G327" s="15" t="s">
        <v>213</v>
      </c>
      <c r="I327" s="15">
        <v>1</v>
      </c>
    </row>
    <row r="328" spans="1:9" x14ac:dyDescent="0.55000000000000004">
      <c r="A328" s="15" t="str">
        <f>Table3[[#This Row],[Name (generated)]]</f>
        <v xml:space="preserve">E03 </v>
      </c>
      <c r="C328" s="15">
        <f>Table3[[#This Row],[Sequence]]</f>
        <v>0</v>
      </c>
      <c r="E328" s="15">
        <v>2.5000000000000001E-2</v>
      </c>
      <c r="F328" s="15" t="s">
        <v>214</v>
      </c>
      <c r="G328" s="15" t="s">
        <v>213</v>
      </c>
      <c r="I328" s="15">
        <v>1</v>
      </c>
    </row>
    <row r="329" spans="1:9" x14ac:dyDescent="0.55000000000000004">
      <c r="A329" s="15" t="str">
        <f>Table3[[#This Row],[Name (generated)]]</f>
        <v xml:space="preserve">E04 </v>
      </c>
      <c r="C329" s="15">
        <f>Table3[[#This Row],[Sequence]]</f>
        <v>0</v>
      </c>
      <c r="E329" s="15">
        <v>2.5000000000000001E-2</v>
      </c>
      <c r="F329" s="15" t="s">
        <v>214</v>
      </c>
      <c r="G329" s="15" t="s">
        <v>213</v>
      </c>
      <c r="I329" s="15">
        <v>1</v>
      </c>
    </row>
    <row r="330" spans="1:9" x14ac:dyDescent="0.55000000000000004">
      <c r="A330" s="15" t="str">
        <f>Table3[[#This Row],[Name (generated)]]</f>
        <v xml:space="preserve">E05 </v>
      </c>
      <c r="C330" s="15">
        <f>Table3[[#This Row],[Sequence]]</f>
        <v>0</v>
      </c>
      <c r="E330" s="15">
        <v>2.5000000000000001E-2</v>
      </c>
      <c r="F330" s="15" t="s">
        <v>214</v>
      </c>
      <c r="G330" s="15" t="s">
        <v>213</v>
      </c>
      <c r="I330" s="15">
        <v>1</v>
      </c>
    </row>
    <row r="331" spans="1:9" x14ac:dyDescent="0.55000000000000004">
      <c r="A331" s="15" t="str">
        <f>Table3[[#This Row],[Name (generated)]]</f>
        <v xml:space="preserve">E06 </v>
      </c>
      <c r="C331" s="15">
        <f>Table3[[#This Row],[Sequence]]</f>
        <v>0</v>
      </c>
      <c r="E331" s="15">
        <v>2.5000000000000001E-2</v>
      </c>
      <c r="F331" s="15" t="s">
        <v>214</v>
      </c>
      <c r="G331" s="15" t="s">
        <v>213</v>
      </c>
      <c r="I331" s="15">
        <v>1</v>
      </c>
    </row>
    <row r="332" spans="1:9" x14ac:dyDescent="0.55000000000000004">
      <c r="A332" s="15" t="str">
        <f>Table3[[#This Row],[Name (generated)]]</f>
        <v xml:space="preserve">E07 </v>
      </c>
      <c r="C332" s="15">
        <f>Table3[[#This Row],[Sequence]]</f>
        <v>0</v>
      </c>
      <c r="E332" s="15">
        <v>2.5000000000000001E-2</v>
      </c>
      <c r="F332" s="15" t="s">
        <v>214</v>
      </c>
      <c r="G332" s="15" t="s">
        <v>213</v>
      </c>
      <c r="I332" s="15">
        <v>1</v>
      </c>
    </row>
    <row r="333" spans="1:9" x14ac:dyDescent="0.55000000000000004">
      <c r="A333" s="15" t="str">
        <f>Table3[[#This Row],[Name (generated)]]</f>
        <v xml:space="preserve">E08 </v>
      </c>
      <c r="C333" s="15">
        <f>Table3[[#This Row],[Sequence]]</f>
        <v>0</v>
      </c>
      <c r="E333" s="15">
        <v>2.5000000000000001E-2</v>
      </c>
      <c r="F333" s="15" t="s">
        <v>214</v>
      </c>
      <c r="G333" s="15" t="s">
        <v>213</v>
      </c>
      <c r="I333" s="15">
        <v>1</v>
      </c>
    </row>
    <row r="334" spans="1:9" x14ac:dyDescent="0.55000000000000004">
      <c r="A334" s="15" t="str">
        <f>Table3[[#This Row],[Name (generated)]]</f>
        <v xml:space="preserve">E09 </v>
      </c>
      <c r="C334" s="15">
        <f>Table3[[#This Row],[Sequence]]</f>
        <v>0</v>
      </c>
      <c r="E334" s="15">
        <v>2.5000000000000001E-2</v>
      </c>
      <c r="F334" s="15" t="s">
        <v>214</v>
      </c>
      <c r="G334" s="15" t="s">
        <v>213</v>
      </c>
      <c r="I334" s="15">
        <v>1</v>
      </c>
    </row>
    <row r="335" spans="1:9" x14ac:dyDescent="0.55000000000000004">
      <c r="A335" s="15" t="str">
        <f>Table3[[#This Row],[Name (generated)]]</f>
        <v xml:space="preserve">E10 </v>
      </c>
      <c r="C335" s="15">
        <f>Table3[[#This Row],[Sequence]]</f>
        <v>0</v>
      </c>
      <c r="E335" s="15">
        <v>2.5000000000000001E-2</v>
      </c>
      <c r="F335" s="15" t="s">
        <v>214</v>
      </c>
      <c r="G335" s="15" t="s">
        <v>213</v>
      </c>
      <c r="I335" s="15">
        <v>1</v>
      </c>
    </row>
    <row r="336" spans="1:9" x14ac:dyDescent="0.55000000000000004">
      <c r="A336" s="15" t="str">
        <f>Table3[[#This Row],[Name (generated)]]</f>
        <v xml:space="preserve">E11 </v>
      </c>
      <c r="C336" s="15">
        <f>Table3[[#This Row],[Sequence]]</f>
        <v>0</v>
      </c>
      <c r="E336" s="15">
        <v>2.5000000000000001E-2</v>
      </c>
      <c r="F336" s="15" t="s">
        <v>214</v>
      </c>
      <c r="G336" s="15" t="s">
        <v>213</v>
      </c>
      <c r="I336" s="15">
        <v>1</v>
      </c>
    </row>
    <row r="337" spans="1:19" x14ac:dyDescent="0.55000000000000004">
      <c r="A337" s="15" t="str">
        <f>Table3[[#This Row],[Name (generated)]]</f>
        <v xml:space="preserve">E12 </v>
      </c>
      <c r="C337" s="15">
        <f>Table3[[#This Row],[Sequence]]</f>
        <v>0</v>
      </c>
      <c r="E337" s="15">
        <v>2.5000000000000001E-2</v>
      </c>
      <c r="F337" s="15" t="s">
        <v>214</v>
      </c>
      <c r="G337" s="15" t="s">
        <v>213</v>
      </c>
      <c r="I337" s="15">
        <v>1</v>
      </c>
    </row>
    <row r="338" spans="1:19" x14ac:dyDescent="0.55000000000000004">
      <c r="A338" s="15" t="str">
        <f>Table3[[#This Row],[Name (generated)]]</f>
        <v xml:space="preserve">E13 </v>
      </c>
      <c r="C338" s="15">
        <f>Table3[[#This Row],[Sequence]]</f>
        <v>0</v>
      </c>
      <c r="E338" s="15">
        <v>2.5000000000000001E-2</v>
      </c>
      <c r="F338" s="15" t="s">
        <v>214</v>
      </c>
      <c r="G338" s="15" t="s">
        <v>213</v>
      </c>
      <c r="I338" s="15">
        <v>1</v>
      </c>
    </row>
    <row r="339" spans="1:19" x14ac:dyDescent="0.55000000000000004">
      <c r="A339" s="15" t="str">
        <f>Table3[[#This Row],[Name (generated)]]</f>
        <v xml:space="preserve">E14 </v>
      </c>
      <c r="C339" s="15">
        <f>Table3[[#This Row],[Sequence]]</f>
        <v>0</v>
      </c>
      <c r="E339" s="15">
        <v>2.5000000000000001E-2</v>
      </c>
      <c r="F339" s="15" t="s">
        <v>214</v>
      </c>
      <c r="G339" s="15" t="s">
        <v>213</v>
      </c>
      <c r="I339" s="15">
        <v>1</v>
      </c>
    </row>
    <row r="340" spans="1:19" x14ac:dyDescent="0.55000000000000004">
      <c r="A340" s="15" t="str">
        <f>Table3[[#This Row],[Name (generated)]]</f>
        <v xml:space="preserve">E15 </v>
      </c>
      <c r="C340" s="15">
        <f>Table3[[#This Row],[Sequence]]</f>
        <v>0</v>
      </c>
      <c r="E340" s="15">
        <v>2.5000000000000001E-2</v>
      </c>
      <c r="F340" s="15" t="s">
        <v>214</v>
      </c>
      <c r="G340" s="15" t="s">
        <v>213</v>
      </c>
      <c r="I340" s="15">
        <v>1</v>
      </c>
      <c r="K340" s="2"/>
      <c r="L340" s="2"/>
      <c r="M340" s="2"/>
      <c r="N340" s="2"/>
      <c r="O340" s="2"/>
      <c r="P340" s="2"/>
      <c r="Q340" s="2"/>
      <c r="R340" s="2"/>
      <c r="S340" s="2"/>
    </row>
    <row r="341" spans="1:19" x14ac:dyDescent="0.55000000000000004">
      <c r="A341" s="15" t="str">
        <f>Table3[[#This Row],[Name (generated)]]</f>
        <v xml:space="preserve">E16 </v>
      </c>
      <c r="C341" s="15">
        <f>Table3[[#This Row],[Sequence]]</f>
        <v>0</v>
      </c>
      <c r="E341" s="15">
        <v>2.5000000000000001E-2</v>
      </c>
      <c r="F341" s="15" t="s">
        <v>214</v>
      </c>
      <c r="G341" s="15" t="s">
        <v>213</v>
      </c>
      <c r="I341" s="15">
        <v>1</v>
      </c>
      <c r="K341" s="2"/>
      <c r="L341" s="2"/>
      <c r="M341" s="2"/>
      <c r="N341" s="2"/>
      <c r="O341" s="2"/>
      <c r="P341" s="2"/>
      <c r="Q341" s="2"/>
      <c r="R341" s="2"/>
      <c r="S341" s="2"/>
    </row>
    <row r="342" spans="1:19" x14ac:dyDescent="0.55000000000000004">
      <c r="A342" s="15" t="str">
        <f>Table3[[#This Row],[Name (generated)]]</f>
        <v xml:space="preserve">E17 </v>
      </c>
      <c r="C342" s="15">
        <f>Table3[[#This Row],[Sequence]]</f>
        <v>0</v>
      </c>
      <c r="E342" s="15">
        <v>2.5000000000000001E-2</v>
      </c>
      <c r="F342" s="15" t="s">
        <v>214</v>
      </c>
      <c r="G342" s="15" t="s">
        <v>213</v>
      </c>
      <c r="I342" s="15">
        <v>1</v>
      </c>
      <c r="K342" s="2"/>
      <c r="L342" s="2"/>
      <c r="M342" s="2"/>
      <c r="N342" s="2"/>
      <c r="O342" s="2"/>
      <c r="P342" s="2"/>
      <c r="Q342" s="2"/>
      <c r="R342" s="2"/>
      <c r="S342" s="2"/>
    </row>
    <row r="343" spans="1:19" x14ac:dyDescent="0.55000000000000004">
      <c r="A343" s="15" t="str">
        <f>Table3[[#This Row],[Name (generated)]]</f>
        <v xml:space="preserve">E18 </v>
      </c>
      <c r="C343" s="15">
        <f>Table3[[#This Row],[Sequence]]</f>
        <v>0</v>
      </c>
      <c r="E343" s="15">
        <v>2.5000000000000001E-2</v>
      </c>
      <c r="F343" s="15" t="s">
        <v>214</v>
      </c>
      <c r="G343" s="15" t="s">
        <v>213</v>
      </c>
      <c r="I343" s="15">
        <v>1</v>
      </c>
      <c r="K343" s="2"/>
      <c r="L343" s="2"/>
      <c r="M343" s="2"/>
      <c r="N343" s="2"/>
      <c r="O343" s="2"/>
      <c r="P343" s="2"/>
      <c r="Q343" s="2"/>
      <c r="R343" s="2"/>
      <c r="S343" s="2"/>
    </row>
    <row r="344" spans="1:19" x14ac:dyDescent="0.55000000000000004">
      <c r="A344" s="15" t="str">
        <f>Table3[[#This Row],[Name (generated)]]</f>
        <v xml:space="preserve">E19 </v>
      </c>
      <c r="C344" s="15">
        <f>Table3[[#This Row],[Sequence]]</f>
        <v>0</v>
      </c>
      <c r="E344" s="15">
        <v>2.5000000000000001E-2</v>
      </c>
      <c r="F344" s="15" t="s">
        <v>214</v>
      </c>
      <c r="G344" s="15" t="s">
        <v>213</v>
      </c>
      <c r="I344" s="15">
        <v>1</v>
      </c>
      <c r="K344" s="2"/>
      <c r="L344" s="2"/>
      <c r="M344" s="2"/>
      <c r="N344" s="2"/>
      <c r="O344" s="2"/>
      <c r="P344" s="2"/>
      <c r="Q344" s="2"/>
      <c r="R344" s="2"/>
      <c r="S344" s="2"/>
    </row>
    <row r="345" spans="1:19" x14ac:dyDescent="0.55000000000000004">
      <c r="A345" s="15" t="str">
        <f>Table3[[#This Row],[Name (generated)]]</f>
        <v xml:space="preserve">E20 </v>
      </c>
      <c r="C345" s="15">
        <f>Table3[[#This Row],[Sequence]]</f>
        <v>0</v>
      </c>
      <c r="E345" s="15">
        <v>2.5000000000000001E-2</v>
      </c>
      <c r="F345" s="15" t="s">
        <v>214</v>
      </c>
      <c r="G345" s="15" t="s">
        <v>213</v>
      </c>
      <c r="I345" s="15">
        <v>1</v>
      </c>
      <c r="K345" s="2"/>
      <c r="L345" s="2"/>
      <c r="M345" s="2"/>
      <c r="N345" s="2"/>
      <c r="O345" s="2"/>
      <c r="P345" s="2"/>
      <c r="Q345" s="2"/>
      <c r="R345" s="2"/>
      <c r="S345" s="2"/>
    </row>
    <row r="346" spans="1:19" x14ac:dyDescent="0.55000000000000004">
      <c r="A346" s="15" t="str">
        <f>Table3[[#This Row],[Name (generated)]]</f>
        <v xml:space="preserve">E21 </v>
      </c>
      <c r="C346" s="15">
        <f>Table3[[#This Row],[Sequence]]</f>
        <v>0</v>
      </c>
      <c r="E346" s="15">
        <v>2.5000000000000001E-2</v>
      </c>
      <c r="F346" s="15" t="s">
        <v>214</v>
      </c>
      <c r="G346" s="15" t="s">
        <v>213</v>
      </c>
      <c r="I346" s="15">
        <v>1</v>
      </c>
      <c r="K346" s="2"/>
      <c r="L346" s="2"/>
      <c r="M346" s="2"/>
      <c r="N346" s="2"/>
      <c r="O346" s="2"/>
      <c r="P346" s="2"/>
      <c r="Q346" s="2"/>
      <c r="R346" s="2"/>
      <c r="S346" s="2"/>
    </row>
    <row r="347" spans="1:19" x14ac:dyDescent="0.55000000000000004">
      <c r="A347" s="15" t="str">
        <f>Table3[[#This Row],[Name (generated)]]</f>
        <v xml:space="preserve">E22 </v>
      </c>
      <c r="C347" s="15">
        <f>Table3[[#This Row],[Sequence]]</f>
        <v>0</v>
      </c>
      <c r="E347" s="15">
        <v>2.5000000000000001E-2</v>
      </c>
      <c r="F347" s="15" t="s">
        <v>214</v>
      </c>
      <c r="G347" s="15" t="s">
        <v>213</v>
      </c>
      <c r="I347" s="15">
        <v>1</v>
      </c>
      <c r="K347" s="2"/>
      <c r="L347" s="2"/>
      <c r="M347" s="2"/>
      <c r="N347" s="2"/>
      <c r="O347" s="2"/>
      <c r="P347" s="2"/>
      <c r="Q347" s="2"/>
      <c r="R347" s="2"/>
      <c r="S347" s="2"/>
    </row>
    <row r="348" spans="1:19" x14ac:dyDescent="0.55000000000000004">
      <c r="A348" s="15" t="str">
        <f>Table3[[#This Row],[Name (generated)]]</f>
        <v xml:space="preserve">E23 </v>
      </c>
      <c r="C348" s="15">
        <f>Table3[[#This Row],[Sequence]]</f>
        <v>0</v>
      </c>
      <c r="E348" s="15">
        <v>2.5000000000000001E-2</v>
      </c>
      <c r="F348" s="15" t="s">
        <v>214</v>
      </c>
      <c r="G348" s="15" t="s">
        <v>213</v>
      </c>
      <c r="I348" s="15">
        <v>1</v>
      </c>
      <c r="K348" s="2"/>
      <c r="L348" s="2"/>
      <c r="M348" s="2"/>
      <c r="N348" s="2"/>
      <c r="O348" s="2"/>
      <c r="P348" s="2"/>
      <c r="Q348" s="2"/>
      <c r="R348" s="2"/>
      <c r="S348" s="2"/>
    </row>
    <row r="349" spans="1:19" x14ac:dyDescent="0.55000000000000004">
      <c r="A349" s="15" t="str">
        <f>Table3[[#This Row],[Name (generated)]]</f>
        <v xml:space="preserve">E24 </v>
      </c>
      <c r="C349" s="15">
        <f>Table3[[#This Row],[Sequence]]</f>
        <v>0</v>
      </c>
      <c r="E349" s="15">
        <v>2.5000000000000001E-2</v>
      </c>
      <c r="F349" s="15" t="s">
        <v>214</v>
      </c>
      <c r="G349" s="15" t="s">
        <v>213</v>
      </c>
      <c r="I349" s="15">
        <v>1</v>
      </c>
      <c r="K349" s="2"/>
      <c r="L349" s="2"/>
      <c r="M349" s="2"/>
      <c r="N349" s="2"/>
      <c r="O349" s="2"/>
      <c r="P349" s="2"/>
      <c r="Q349" s="2"/>
      <c r="R349" s="2"/>
      <c r="S349" s="2"/>
    </row>
    <row r="350" spans="1:19" x14ac:dyDescent="0.55000000000000004">
      <c r="A350" s="15" t="str">
        <f>Table3[[#This Row],[Name (generated)]]</f>
        <v xml:space="preserve">E25 </v>
      </c>
      <c r="C350" s="15">
        <f>Table3[[#This Row],[Sequence]]</f>
        <v>0</v>
      </c>
      <c r="E350" s="15">
        <v>2.5000000000000001E-2</v>
      </c>
      <c r="F350" s="15" t="s">
        <v>214</v>
      </c>
      <c r="G350" s="15" t="s">
        <v>213</v>
      </c>
      <c r="I350" s="15">
        <v>1</v>
      </c>
      <c r="K350" s="2"/>
      <c r="L350" s="2"/>
      <c r="M350" s="2"/>
      <c r="N350" s="2"/>
      <c r="O350" s="2"/>
      <c r="P350" s="2"/>
      <c r="Q350" s="2"/>
      <c r="R350" s="2"/>
      <c r="S350" s="2"/>
    </row>
    <row r="351" spans="1:19" x14ac:dyDescent="0.55000000000000004">
      <c r="A351" s="15" t="str">
        <f>Table3[[#This Row],[Name (generated)]]</f>
        <v xml:space="preserve">E26 </v>
      </c>
      <c r="C351" s="15">
        <f>Table3[[#This Row],[Sequence]]</f>
        <v>0</v>
      </c>
      <c r="E351" s="15">
        <v>2.5000000000000001E-2</v>
      </c>
      <c r="F351" s="15" t="s">
        <v>214</v>
      </c>
      <c r="G351" s="15" t="s">
        <v>213</v>
      </c>
      <c r="I351" s="15">
        <v>1</v>
      </c>
      <c r="K351" s="2"/>
      <c r="L351" s="2"/>
      <c r="M351" s="2"/>
      <c r="N351" s="2"/>
      <c r="O351" s="2"/>
      <c r="P351" s="2"/>
      <c r="Q351" s="2"/>
      <c r="R351" s="2"/>
      <c r="S351" s="2"/>
    </row>
    <row r="352" spans="1:19" x14ac:dyDescent="0.55000000000000004">
      <c r="A352" s="15" t="str">
        <f>Table3[[#This Row],[Name (generated)]]</f>
        <v xml:space="preserve">E27 </v>
      </c>
      <c r="C352" s="15">
        <f>Table3[[#This Row],[Sequence]]</f>
        <v>0</v>
      </c>
      <c r="E352" s="15">
        <v>2.5000000000000001E-2</v>
      </c>
      <c r="F352" s="15" t="s">
        <v>214</v>
      </c>
      <c r="G352" s="15" t="s">
        <v>213</v>
      </c>
      <c r="I352" s="15">
        <v>1</v>
      </c>
      <c r="K352" s="2"/>
      <c r="L352" s="2"/>
      <c r="M352" s="2"/>
      <c r="N352" s="2"/>
      <c r="O352" s="2"/>
      <c r="P352" s="2"/>
      <c r="Q352" s="2"/>
      <c r="R352" s="2"/>
      <c r="S352" s="2"/>
    </row>
    <row r="353" spans="1:19" x14ac:dyDescent="0.55000000000000004">
      <c r="A353" s="15" t="str">
        <f>Table3[[#This Row],[Name (generated)]]</f>
        <v xml:space="preserve">E28 </v>
      </c>
      <c r="C353" s="15">
        <f>Table3[[#This Row],[Sequence]]</f>
        <v>0</v>
      </c>
      <c r="E353" s="15">
        <v>2.5000000000000001E-2</v>
      </c>
      <c r="F353" s="15" t="s">
        <v>214</v>
      </c>
      <c r="G353" s="15" t="s">
        <v>213</v>
      </c>
      <c r="I353" s="15">
        <v>1</v>
      </c>
      <c r="K353" s="2"/>
      <c r="L353" s="2"/>
      <c r="M353" s="2"/>
      <c r="N353" s="2"/>
      <c r="O353" s="2"/>
      <c r="P353" s="2"/>
      <c r="Q353" s="2"/>
      <c r="R353" s="2"/>
      <c r="S353" s="2"/>
    </row>
    <row r="354" spans="1:19" x14ac:dyDescent="0.55000000000000004">
      <c r="A354" s="15" t="str">
        <f>Table3[[#This Row],[Name (generated)]]</f>
        <v xml:space="preserve">E29 </v>
      </c>
      <c r="C354" s="15">
        <f>Table3[[#This Row],[Sequence]]</f>
        <v>0</v>
      </c>
      <c r="E354" s="15">
        <v>2.5000000000000001E-2</v>
      </c>
      <c r="F354" s="15" t="s">
        <v>214</v>
      </c>
      <c r="G354" s="15" t="s">
        <v>213</v>
      </c>
      <c r="I354" s="15">
        <v>1</v>
      </c>
      <c r="K354" s="2"/>
      <c r="L354" s="2"/>
      <c r="M354" s="2"/>
      <c r="N354" s="2"/>
      <c r="O354" s="2"/>
      <c r="P354" s="2"/>
      <c r="Q354" s="2"/>
      <c r="R354" s="2"/>
      <c r="S354" s="2"/>
    </row>
    <row r="355" spans="1:19" x14ac:dyDescent="0.55000000000000004">
      <c r="A355" s="15" t="str">
        <f>Table3[[#This Row],[Name (generated)]]</f>
        <v xml:space="preserve">E30 </v>
      </c>
      <c r="C355" s="15">
        <f>Table3[[#This Row],[Sequence]]</f>
        <v>0</v>
      </c>
      <c r="E355" s="15">
        <v>2.5000000000000001E-2</v>
      </c>
      <c r="F355" s="15" t="s">
        <v>214</v>
      </c>
      <c r="G355" s="15" t="s">
        <v>213</v>
      </c>
      <c r="I355" s="15">
        <v>1</v>
      </c>
      <c r="K355" s="2"/>
      <c r="L355" s="2"/>
      <c r="M355" s="2"/>
      <c r="N355" s="2"/>
      <c r="O355" s="2"/>
      <c r="P355" s="2"/>
      <c r="Q355" s="2"/>
      <c r="R355" s="2"/>
      <c r="S355" s="2"/>
    </row>
    <row r="356" spans="1:19" x14ac:dyDescent="0.55000000000000004">
      <c r="A356" s="15" t="str">
        <f>Table3[[#This Row],[Name (generated)]]</f>
        <v xml:space="preserve">E31 </v>
      </c>
      <c r="C356" s="15">
        <f>Table3[[#This Row],[Sequence]]</f>
        <v>0</v>
      </c>
      <c r="E356" s="15">
        <v>2.5000000000000001E-2</v>
      </c>
      <c r="F356" s="15" t="s">
        <v>214</v>
      </c>
      <c r="G356" s="15" t="s">
        <v>213</v>
      </c>
      <c r="I356" s="15">
        <v>1</v>
      </c>
    </row>
    <row r="357" spans="1:19" x14ac:dyDescent="0.55000000000000004">
      <c r="A357" s="15" t="str">
        <f>Table3[[#This Row],[Name (generated)]]</f>
        <v xml:space="preserve">E32 </v>
      </c>
      <c r="C357" s="15">
        <f>Table3[[#This Row],[Sequence]]</f>
        <v>0</v>
      </c>
      <c r="E357" s="15">
        <v>2.5000000000000001E-2</v>
      </c>
      <c r="F357" s="15" t="s">
        <v>214</v>
      </c>
      <c r="G357" s="15" t="s">
        <v>213</v>
      </c>
      <c r="I357" s="15">
        <v>1</v>
      </c>
    </row>
    <row r="358" spans="1:19" x14ac:dyDescent="0.55000000000000004">
      <c r="A358" s="15" t="str">
        <f>Table3[[#This Row],[Name (generated)]]</f>
        <v xml:space="preserve">E33 </v>
      </c>
      <c r="C358" s="15">
        <f>Table3[[#This Row],[Sequence]]</f>
        <v>0</v>
      </c>
      <c r="E358" s="15">
        <v>2.5000000000000001E-2</v>
      </c>
      <c r="F358" s="15" t="s">
        <v>214</v>
      </c>
      <c r="G358" s="15" t="s">
        <v>213</v>
      </c>
      <c r="I358" s="15">
        <v>1</v>
      </c>
    </row>
    <row r="359" spans="1:19" x14ac:dyDescent="0.55000000000000004">
      <c r="A359" s="15" t="str">
        <f>Table3[[#This Row],[Name (generated)]]</f>
        <v xml:space="preserve">E34 </v>
      </c>
      <c r="C359" s="15">
        <f>Table3[[#This Row],[Sequence]]</f>
        <v>0</v>
      </c>
      <c r="E359" s="15">
        <v>2.5000000000000001E-2</v>
      </c>
      <c r="F359" s="15" t="s">
        <v>214</v>
      </c>
      <c r="G359" s="15" t="s">
        <v>213</v>
      </c>
      <c r="I359" s="15">
        <v>1</v>
      </c>
    </row>
    <row r="360" spans="1:19" x14ac:dyDescent="0.55000000000000004">
      <c r="A360" s="152" t="str">
        <f>Table3[[#This Row],[Name (generated)]]</f>
        <v xml:space="preserve">E35 </v>
      </c>
      <c r="C360" s="15">
        <f>Table3[[#This Row],[Sequence]]</f>
        <v>0</v>
      </c>
      <c r="E360" s="15">
        <v>2.5000000000000001E-2</v>
      </c>
      <c r="F360" s="15" t="s">
        <v>214</v>
      </c>
      <c r="G360" s="15" t="s">
        <v>213</v>
      </c>
      <c r="I360" s="15">
        <v>1</v>
      </c>
    </row>
    <row r="361" spans="1:19" x14ac:dyDescent="0.55000000000000004">
      <c r="A361" s="152" t="str">
        <f>Table3[[#This Row],[Name (generated)]]</f>
        <v xml:space="preserve">E36 </v>
      </c>
      <c r="C361" s="15">
        <f>Table3[[#This Row],[Sequence]]</f>
        <v>0</v>
      </c>
      <c r="E361" s="15">
        <v>2.5000000000000001E-2</v>
      </c>
      <c r="F361" s="15" t="s">
        <v>214</v>
      </c>
      <c r="G361" s="15" t="s">
        <v>213</v>
      </c>
      <c r="I361" s="15">
        <v>1</v>
      </c>
    </row>
    <row r="362" spans="1:19" x14ac:dyDescent="0.55000000000000004">
      <c r="A362" s="152" t="str">
        <f>Table3[[#This Row],[Name (generated)]]</f>
        <v xml:space="preserve">E37 </v>
      </c>
      <c r="C362" s="15">
        <f>Table3[[#This Row],[Sequence]]</f>
        <v>0</v>
      </c>
      <c r="E362" s="15">
        <v>2.5000000000000001E-2</v>
      </c>
      <c r="F362" s="15" t="s">
        <v>214</v>
      </c>
      <c r="G362" s="15" t="s">
        <v>213</v>
      </c>
      <c r="I362" s="15">
        <v>1</v>
      </c>
    </row>
    <row r="363" spans="1:19" x14ac:dyDescent="0.55000000000000004">
      <c r="A363" s="152" t="str">
        <f>Table3[[#This Row],[Name (generated)]]</f>
        <v xml:space="preserve">E38 </v>
      </c>
      <c r="C363" s="15">
        <f>Table3[[#This Row],[Sequence]]</f>
        <v>0</v>
      </c>
      <c r="E363" s="15">
        <v>2.5000000000000001E-2</v>
      </c>
      <c r="F363" s="15" t="s">
        <v>214</v>
      </c>
      <c r="G363" s="15" t="s">
        <v>213</v>
      </c>
      <c r="I363" s="15">
        <v>1</v>
      </c>
    </row>
    <row r="364" spans="1:19" x14ac:dyDescent="0.55000000000000004">
      <c r="A364" s="152" t="str">
        <f>Table3[[#This Row],[Name (generated)]]</f>
        <v xml:space="preserve">E39 </v>
      </c>
      <c r="C364" s="15">
        <f>Table3[[#This Row],[Sequence]]</f>
        <v>0</v>
      </c>
      <c r="E364" s="15">
        <v>2.5000000000000001E-2</v>
      </c>
      <c r="F364" s="15" t="s">
        <v>214</v>
      </c>
      <c r="G364" s="15" t="s">
        <v>213</v>
      </c>
      <c r="I364" s="15">
        <v>1</v>
      </c>
    </row>
    <row r="365" spans="1:19" x14ac:dyDescent="0.55000000000000004">
      <c r="A365" s="152" t="str">
        <f>Table3[[#This Row],[Name (generated)]]</f>
        <v xml:space="preserve">E40 </v>
      </c>
      <c r="C365" s="15">
        <f>Table3[[#This Row],[Sequence]]</f>
        <v>0</v>
      </c>
      <c r="E365" s="15">
        <v>2.5000000000000001E-2</v>
      </c>
      <c r="F365" s="15" t="s">
        <v>214</v>
      </c>
      <c r="G365" s="15" t="s">
        <v>213</v>
      </c>
      <c r="I365" s="15">
        <v>1</v>
      </c>
    </row>
    <row r="366" spans="1:19" x14ac:dyDescent="0.55000000000000004">
      <c r="A366" s="152" t="str">
        <f>Table3[[#This Row],[Name (generated)]]</f>
        <v xml:space="preserve">E41 </v>
      </c>
      <c r="C366" s="15">
        <f>Table3[[#This Row],[Sequence]]</f>
        <v>0</v>
      </c>
      <c r="E366" s="15">
        <v>2.5000000000000001E-2</v>
      </c>
      <c r="F366" s="15" t="s">
        <v>214</v>
      </c>
      <c r="G366" s="15" t="s">
        <v>213</v>
      </c>
      <c r="I366" s="15">
        <v>1</v>
      </c>
    </row>
    <row r="367" spans="1:19" x14ac:dyDescent="0.55000000000000004">
      <c r="A367" s="152" t="str">
        <f>Table3[[#This Row],[Name (generated)]]</f>
        <v xml:space="preserve">E42 </v>
      </c>
      <c r="C367" s="15">
        <f>Table3[[#This Row],[Sequence]]</f>
        <v>0</v>
      </c>
      <c r="E367" s="15">
        <v>2.5000000000000001E-2</v>
      </c>
      <c r="F367" s="15" t="s">
        <v>214</v>
      </c>
      <c r="G367" s="15" t="s">
        <v>213</v>
      </c>
      <c r="I367" s="15">
        <v>1</v>
      </c>
    </row>
    <row r="368" spans="1:19" x14ac:dyDescent="0.55000000000000004">
      <c r="A368" s="152" t="str">
        <f>Table3[[#This Row],[Name (generated)]]</f>
        <v xml:space="preserve">E43 </v>
      </c>
      <c r="C368" s="15">
        <f>Table3[[#This Row],[Sequence]]</f>
        <v>0</v>
      </c>
      <c r="E368" s="15">
        <v>2.5000000000000001E-2</v>
      </c>
      <c r="F368" s="15" t="s">
        <v>214</v>
      </c>
      <c r="G368" s="15" t="s">
        <v>213</v>
      </c>
      <c r="I368" s="15">
        <v>1</v>
      </c>
    </row>
    <row r="369" spans="1:9" x14ac:dyDescent="0.55000000000000004">
      <c r="A369" s="152" t="str">
        <f>Table3[[#This Row],[Name (generated)]]</f>
        <v xml:space="preserve">E44 </v>
      </c>
      <c r="C369" s="15">
        <f>Table3[[#This Row],[Sequence]]</f>
        <v>0</v>
      </c>
      <c r="E369" s="15">
        <v>2.5000000000000001E-2</v>
      </c>
      <c r="F369" s="15" t="s">
        <v>214</v>
      </c>
      <c r="G369" s="15" t="s">
        <v>213</v>
      </c>
      <c r="I369" s="15">
        <v>1</v>
      </c>
    </row>
    <row r="370" spans="1:9" x14ac:dyDescent="0.55000000000000004">
      <c r="A370" s="152" t="str">
        <f>Table3[[#This Row],[Name (generated)]]</f>
        <v xml:space="preserve">E45 </v>
      </c>
      <c r="C370" s="15">
        <f>Table3[[#This Row],[Sequence]]</f>
        <v>0</v>
      </c>
      <c r="E370" s="15">
        <v>2.5000000000000001E-2</v>
      </c>
      <c r="F370" s="15" t="s">
        <v>214</v>
      </c>
      <c r="G370" s="15" t="s">
        <v>213</v>
      </c>
      <c r="I370" s="15">
        <v>1</v>
      </c>
    </row>
    <row r="371" spans="1:9" x14ac:dyDescent="0.55000000000000004">
      <c r="A371" s="152" t="str">
        <f>Table3[[#This Row],[Name (generated)]]</f>
        <v xml:space="preserve">E46 </v>
      </c>
      <c r="C371" s="15">
        <f>Table3[[#This Row],[Sequence]]</f>
        <v>0</v>
      </c>
      <c r="E371" s="15">
        <v>2.5000000000000001E-2</v>
      </c>
      <c r="F371" s="15" t="s">
        <v>214</v>
      </c>
      <c r="G371" s="15" t="s">
        <v>213</v>
      </c>
      <c r="I371" s="15">
        <v>1</v>
      </c>
    </row>
    <row r="372" spans="1:9" x14ac:dyDescent="0.55000000000000004">
      <c r="A372" s="152" t="str">
        <f>Table3[[#This Row],[Name (generated)]]</f>
        <v xml:space="preserve">E47 </v>
      </c>
      <c r="C372" s="15">
        <f>Table3[[#This Row],[Sequence]]</f>
        <v>0</v>
      </c>
      <c r="E372" s="15">
        <v>2.5000000000000001E-2</v>
      </c>
      <c r="F372" s="15" t="s">
        <v>214</v>
      </c>
      <c r="G372" s="15" t="s">
        <v>213</v>
      </c>
      <c r="I372" s="15">
        <v>1</v>
      </c>
    </row>
    <row r="373" spans="1:9" x14ac:dyDescent="0.55000000000000004">
      <c r="A373" s="152" t="str">
        <f>Table3[[#This Row],[Name (generated)]]</f>
        <v xml:space="preserve">E48 </v>
      </c>
      <c r="C373" s="15">
        <f>Table3[[#This Row],[Sequence]]</f>
        <v>0</v>
      </c>
      <c r="E373" s="15">
        <v>2.5000000000000001E-2</v>
      </c>
      <c r="F373" s="15" t="s">
        <v>214</v>
      </c>
      <c r="G373" s="15" t="s">
        <v>213</v>
      </c>
      <c r="I373" s="15">
        <v>1</v>
      </c>
    </row>
    <row r="374" spans="1:9" x14ac:dyDescent="0.55000000000000004">
      <c r="A374" s="152" t="str">
        <f>Table3[[#This Row],[Name (generated)]]</f>
        <v xml:space="preserve">E49 </v>
      </c>
      <c r="C374" s="15">
        <f>Table3[[#This Row],[Sequence]]</f>
        <v>0</v>
      </c>
      <c r="E374" s="15">
        <v>2.5000000000000001E-2</v>
      </c>
      <c r="F374" s="15" t="s">
        <v>214</v>
      </c>
      <c r="G374" s="15" t="s">
        <v>213</v>
      </c>
      <c r="I374" s="15">
        <v>1</v>
      </c>
    </row>
    <row r="375" spans="1:9" x14ac:dyDescent="0.55000000000000004">
      <c r="A375" s="152" t="str">
        <f>Table3[[#This Row],[Name (generated)]]</f>
        <v xml:space="preserve">E50 </v>
      </c>
      <c r="C375" s="15">
        <f>Table3[[#This Row],[Sequence]]</f>
        <v>0</v>
      </c>
      <c r="E375" s="15">
        <v>2.5000000000000001E-2</v>
      </c>
      <c r="F375" s="15" t="s">
        <v>214</v>
      </c>
      <c r="G375" s="15" t="s">
        <v>213</v>
      </c>
      <c r="I375" s="15">
        <v>1</v>
      </c>
    </row>
    <row r="376" spans="1:9" x14ac:dyDescent="0.55000000000000004">
      <c r="A376" s="152" t="str">
        <f>Table3[[#This Row],[Name (generated)]]</f>
        <v xml:space="preserve">E51 </v>
      </c>
      <c r="C376" s="15">
        <f>Table3[[#This Row],[Sequence]]</f>
        <v>0</v>
      </c>
      <c r="E376" s="15">
        <v>2.5000000000000001E-2</v>
      </c>
      <c r="F376" s="15" t="s">
        <v>214</v>
      </c>
      <c r="G376" s="15" t="s">
        <v>213</v>
      </c>
      <c r="I376" s="15">
        <v>1</v>
      </c>
    </row>
    <row r="377" spans="1:9" x14ac:dyDescent="0.55000000000000004">
      <c r="A377" s="152" t="str">
        <f>Table3[[#This Row],[Name (generated)]]</f>
        <v xml:space="preserve">E52 </v>
      </c>
      <c r="C377" s="15">
        <f>Table3[[#This Row],[Sequence]]</f>
        <v>0</v>
      </c>
      <c r="E377" s="15">
        <v>2.5000000000000001E-2</v>
      </c>
      <c r="F377" s="15" t="s">
        <v>214</v>
      </c>
      <c r="G377" s="15" t="s">
        <v>213</v>
      </c>
      <c r="I377" s="15">
        <v>1</v>
      </c>
    </row>
    <row r="378" spans="1:9" x14ac:dyDescent="0.55000000000000004">
      <c r="A378" s="152" t="str">
        <f>Table3[[#This Row],[Name (generated)]]</f>
        <v xml:space="preserve">E53 </v>
      </c>
      <c r="C378" s="15">
        <f>Table3[[#This Row],[Sequence]]</f>
        <v>0</v>
      </c>
      <c r="E378" s="15">
        <v>2.5000000000000001E-2</v>
      </c>
      <c r="F378" s="15" t="s">
        <v>214</v>
      </c>
      <c r="G378" s="15" t="s">
        <v>213</v>
      </c>
      <c r="I378" s="15">
        <v>1</v>
      </c>
    </row>
    <row r="379" spans="1:9" x14ac:dyDescent="0.55000000000000004">
      <c r="A379" s="152" t="str">
        <f>Table3[[#This Row],[Name (generated)]]</f>
        <v xml:space="preserve">E54 </v>
      </c>
      <c r="C379" s="15">
        <f>Table3[[#This Row],[Sequence]]</f>
        <v>0</v>
      </c>
      <c r="E379" s="15">
        <v>2.5000000000000001E-2</v>
      </c>
      <c r="F379" s="15" t="s">
        <v>214</v>
      </c>
      <c r="G379" s="15" t="s">
        <v>213</v>
      </c>
      <c r="I379" s="15">
        <v>1</v>
      </c>
    </row>
    <row r="380" spans="1:9" x14ac:dyDescent="0.55000000000000004">
      <c r="A380" s="152" t="str">
        <f>Table3[[#This Row],[Name (generated)]]</f>
        <v xml:space="preserve">E55 </v>
      </c>
      <c r="C380" s="15">
        <f>Table3[[#This Row],[Sequence]]</f>
        <v>0</v>
      </c>
      <c r="E380" s="15">
        <v>2.5000000000000001E-2</v>
      </c>
      <c r="F380" s="15" t="s">
        <v>214</v>
      </c>
      <c r="G380" s="15" t="s">
        <v>213</v>
      </c>
      <c r="I380" s="15">
        <v>1</v>
      </c>
    </row>
    <row r="381" spans="1:9" x14ac:dyDescent="0.55000000000000004">
      <c r="A381" s="152" t="str">
        <f>Table3[[#This Row],[Name (generated)]]</f>
        <v xml:space="preserve">E56 </v>
      </c>
      <c r="C381" s="15">
        <f>Table3[[#This Row],[Sequence]]</f>
        <v>0</v>
      </c>
      <c r="E381" s="15">
        <v>2.5000000000000001E-2</v>
      </c>
      <c r="F381" s="15" t="s">
        <v>214</v>
      </c>
      <c r="G381" s="15" t="s">
        <v>213</v>
      </c>
      <c r="I381" s="15">
        <v>1</v>
      </c>
    </row>
    <row r="382" spans="1:9" x14ac:dyDescent="0.55000000000000004">
      <c r="A382" s="152" t="str">
        <f>Table3[[#This Row],[Name (generated)]]</f>
        <v xml:space="preserve">E57 </v>
      </c>
      <c r="C382" s="15">
        <f>Table3[[#This Row],[Sequence]]</f>
        <v>0</v>
      </c>
      <c r="E382" s="15">
        <v>2.5000000000000001E-2</v>
      </c>
      <c r="F382" s="15" t="s">
        <v>214</v>
      </c>
      <c r="G382" s="15" t="s">
        <v>213</v>
      </c>
      <c r="I382" s="15">
        <v>1</v>
      </c>
    </row>
    <row r="383" spans="1:9" x14ac:dyDescent="0.55000000000000004">
      <c r="A383" s="152" t="str">
        <f>Table3[[#This Row],[Name (generated)]]</f>
        <v xml:space="preserve">E58 </v>
      </c>
      <c r="C383" s="15">
        <f>Table3[[#This Row],[Sequence]]</f>
        <v>0</v>
      </c>
      <c r="E383" s="15">
        <v>2.5000000000000001E-2</v>
      </c>
      <c r="F383" s="15" t="s">
        <v>214</v>
      </c>
      <c r="G383" s="15" t="s">
        <v>213</v>
      </c>
      <c r="I383" s="15">
        <v>1</v>
      </c>
    </row>
    <row r="384" spans="1:9" x14ac:dyDescent="0.55000000000000004">
      <c r="A384" s="152" t="str">
        <f>Table3[[#This Row],[Name (generated)]]</f>
        <v xml:space="preserve">E59 </v>
      </c>
      <c r="C384" s="15">
        <f>Table3[[#This Row],[Sequence]]</f>
        <v>0</v>
      </c>
      <c r="E384" s="15">
        <v>2.5000000000000001E-2</v>
      </c>
      <c r="F384" s="15" t="s">
        <v>214</v>
      </c>
      <c r="G384" s="15" t="s">
        <v>213</v>
      </c>
      <c r="I384" s="15">
        <v>1</v>
      </c>
    </row>
    <row r="385" spans="1:9" x14ac:dyDescent="0.55000000000000004">
      <c r="A385" s="152" t="str">
        <f>Table3[[#This Row],[Name (generated)]]</f>
        <v xml:space="preserve">E60 </v>
      </c>
      <c r="C385" s="15">
        <f>Table3[[#This Row],[Sequence]]</f>
        <v>0</v>
      </c>
      <c r="E385" s="15">
        <v>2.5000000000000001E-2</v>
      </c>
      <c r="F385" s="15" t="s">
        <v>214</v>
      </c>
      <c r="G385" s="15" t="s">
        <v>213</v>
      </c>
      <c r="I385" s="15">
        <v>1</v>
      </c>
    </row>
    <row r="386" spans="1:9" x14ac:dyDescent="0.55000000000000004">
      <c r="A386" s="152" t="str">
        <f>Table3[[#This Row],[Name (generated)]]</f>
        <v xml:space="preserve">E61 </v>
      </c>
      <c r="C386" s="15">
        <f>Table3[[#This Row],[Sequence]]</f>
        <v>0</v>
      </c>
      <c r="E386" s="15">
        <v>2.5000000000000001E-2</v>
      </c>
      <c r="F386" s="15" t="s">
        <v>214</v>
      </c>
      <c r="G386" s="15" t="s">
        <v>213</v>
      </c>
      <c r="I386" s="15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F40"/>
  <sheetViews>
    <sheetView zoomScale="115" zoomScaleNormal="115" workbookViewId="0">
      <selection activeCell="A2" sqref="A2"/>
    </sheetView>
  </sheetViews>
  <sheetFormatPr defaultColWidth="8.89453125" defaultRowHeight="12.3" x14ac:dyDescent="0.55000000000000004"/>
  <cols>
    <col min="1" max="1" width="7.9453125" style="125" customWidth="1"/>
    <col min="2" max="2" width="11.9453125" style="125" customWidth="1"/>
    <col min="3" max="3" width="40.1015625" style="125" customWidth="1"/>
    <col min="4" max="4" width="32.734375" style="127" customWidth="1"/>
    <col min="5" max="5" width="27.62890625" style="125" customWidth="1"/>
    <col min="6" max="16384" width="8.89453125" style="125"/>
  </cols>
  <sheetData>
    <row r="1" spans="1:6" ht="14.4" x14ac:dyDescent="0.55000000000000004">
      <c r="A1" s="122" t="s">
        <v>116</v>
      </c>
      <c r="B1" s="122" t="s">
        <v>6</v>
      </c>
      <c r="C1" s="169" t="s">
        <v>478</v>
      </c>
      <c r="D1" s="123" t="s">
        <v>479</v>
      </c>
      <c r="E1" s="165" t="s">
        <v>378</v>
      </c>
      <c r="F1" s="124" t="s">
        <v>480</v>
      </c>
    </row>
    <row r="2" spans="1:6" ht="12.9" x14ac:dyDescent="0.5">
      <c r="A2" s="157"/>
      <c r="B2" s="157"/>
      <c r="C2" s="158"/>
      <c r="D2" s="162"/>
      <c r="E2" s="73"/>
      <c r="F2" s="161"/>
    </row>
    <row r="3" spans="1:6" ht="12.9" x14ac:dyDescent="0.55000000000000004">
      <c r="A3" s="157"/>
      <c r="B3" s="157"/>
      <c r="C3" s="158"/>
      <c r="D3" s="162"/>
      <c r="E3" s="166"/>
      <c r="F3" s="161"/>
    </row>
    <row r="4" spans="1:6" ht="12.9" x14ac:dyDescent="0.55000000000000004">
      <c r="A4" s="157"/>
      <c r="B4" s="157"/>
      <c r="C4" s="158"/>
      <c r="D4" s="162"/>
      <c r="E4" s="166"/>
      <c r="F4" s="161"/>
    </row>
    <row r="5" spans="1:6" ht="12.9" x14ac:dyDescent="0.55000000000000004">
      <c r="A5" s="157"/>
      <c r="B5" s="157"/>
      <c r="C5" s="158"/>
      <c r="D5" s="162"/>
      <c r="E5" s="166"/>
      <c r="F5" s="161"/>
    </row>
    <row r="6" spans="1:6" ht="12.9" x14ac:dyDescent="0.55000000000000004">
      <c r="A6" s="157"/>
      <c r="B6" s="157"/>
      <c r="C6" s="158"/>
      <c r="D6" s="162"/>
      <c r="E6" s="166"/>
      <c r="F6" s="161"/>
    </row>
    <row r="7" spans="1:6" ht="12.9" x14ac:dyDescent="0.55000000000000004">
      <c r="A7" s="157"/>
      <c r="B7" s="157"/>
      <c r="C7" s="158"/>
      <c r="D7" s="162"/>
      <c r="E7" s="166"/>
      <c r="F7" s="161"/>
    </row>
    <row r="8" spans="1:6" ht="12.9" x14ac:dyDescent="0.5">
      <c r="A8" s="157"/>
      <c r="B8" s="157"/>
      <c r="C8" s="158"/>
      <c r="D8" s="162"/>
      <c r="E8" s="73"/>
      <c r="F8" s="161"/>
    </row>
    <row r="9" spans="1:6" ht="12.9" x14ac:dyDescent="0.5">
      <c r="A9" s="157"/>
      <c r="B9" s="157"/>
      <c r="C9" s="158"/>
      <c r="D9" s="162"/>
      <c r="E9" s="73"/>
      <c r="F9" s="161"/>
    </row>
    <row r="10" spans="1:6" ht="12.9" x14ac:dyDescent="0.5">
      <c r="A10" s="157"/>
      <c r="B10" s="157"/>
      <c r="C10" s="158"/>
      <c r="D10" s="162"/>
      <c r="E10" s="73"/>
      <c r="F10" s="161"/>
    </row>
    <row r="11" spans="1:6" ht="12.9" x14ac:dyDescent="0.55000000000000004">
      <c r="A11" s="157"/>
      <c r="B11" s="157"/>
      <c r="C11" s="158"/>
      <c r="D11" s="162"/>
      <c r="E11" s="166"/>
      <c r="F11" s="161"/>
    </row>
    <row r="12" spans="1:6" ht="12.9" x14ac:dyDescent="0.55000000000000004">
      <c r="A12" s="157"/>
      <c r="B12" s="157"/>
      <c r="C12" s="158"/>
      <c r="D12" s="162"/>
      <c r="E12" s="166"/>
      <c r="F12" s="156"/>
    </row>
    <row r="13" spans="1:6" ht="12.9" x14ac:dyDescent="0.5">
      <c r="A13" s="159"/>
      <c r="B13" s="159"/>
      <c r="C13" s="160"/>
      <c r="D13" s="164"/>
      <c r="E13" s="167"/>
      <c r="F13" s="156"/>
    </row>
    <row r="14" spans="1:6" ht="12.9" x14ac:dyDescent="0.5">
      <c r="A14" s="159"/>
      <c r="B14" s="159"/>
      <c r="C14" s="160"/>
      <c r="D14" s="164"/>
      <c r="E14" s="167"/>
      <c r="F14" s="156"/>
    </row>
    <row r="15" spans="1:6" ht="12.9" x14ac:dyDescent="0.5">
      <c r="A15" s="159"/>
      <c r="B15" s="159"/>
      <c r="C15" s="160"/>
      <c r="D15" s="164"/>
      <c r="E15" s="167"/>
      <c r="F15" s="156"/>
    </row>
    <row r="16" spans="1:6" ht="12.9" x14ac:dyDescent="0.5">
      <c r="A16" s="159"/>
      <c r="B16" s="159"/>
      <c r="C16" s="160"/>
      <c r="D16" s="164"/>
      <c r="E16" s="167"/>
      <c r="F16" s="156"/>
    </row>
    <row r="17" spans="1:6" ht="12.9" x14ac:dyDescent="0.5">
      <c r="A17" s="159"/>
      <c r="B17" s="159"/>
      <c r="C17" s="160"/>
      <c r="D17" s="164"/>
      <c r="E17" s="167"/>
      <c r="F17" s="156"/>
    </row>
    <row r="18" spans="1:6" ht="12.9" x14ac:dyDescent="0.5">
      <c r="A18" s="159"/>
      <c r="B18" s="159"/>
      <c r="C18" s="160"/>
      <c r="D18" s="164"/>
      <c r="E18" s="167"/>
      <c r="F18" s="156"/>
    </row>
    <row r="19" spans="1:6" ht="12.9" x14ac:dyDescent="0.5">
      <c r="A19" s="159"/>
      <c r="B19" s="159"/>
      <c r="C19" s="160"/>
      <c r="D19" s="164"/>
      <c r="E19" s="167"/>
      <c r="F19" s="156"/>
    </row>
    <row r="20" spans="1:6" ht="12.9" x14ac:dyDescent="0.5">
      <c r="A20" s="159"/>
      <c r="B20" s="159"/>
      <c r="C20" s="160"/>
      <c r="D20" s="164"/>
      <c r="E20" s="167"/>
      <c r="F20" s="156"/>
    </row>
    <row r="21" spans="1:6" ht="12.9" x14ac:dyDescent="0.5">
      <c r="A21" s="159"/>
      <c r="B21" s="159"/>
      <c r="C21" s="160"/>
      <c r="D21" s="164"/>
      <c r="E21" s="167"/>
      <c r="F21" s="156"/>
    </row>
    <row r="22" spans="1:6" ht="12.9" x14ac:dyDescent="0.5">
      <c r="A22" s="159"/>
      <c r="B22" s="159"/>
      <c r="C22" s="160"/>
      <c r="D22" s="164"/>
      <c r="E22" s="167"/>
      <c r="F22" s="156"/>
    </row>
    <row r="23" spans="1:6" ht="12.9" x14ac:dyDescent="0.5">
      <c r="A23" s="159"/>
      <c r="B23" s="159"/>
      <c r="C23" s="160"/>
      <c r="D23" s="164"/>
      <c r="E23" s="167"/>
      <c r="F23" s="156"/>
    </row>
    <row r="24" spans="1:6" ht="12.9" x14ac:dyDescent="0.5">
      <c r="A24" s="159"/>
      <c r="B24" s="159"/>
      <c r="C24" s="160"/>
      <c r="D24" s="164"/>
      <c r="E24" s="167"/>
      <c r="F24" s="156"/>
    </row>
    <row r="25" spans="1:6" ht="12.9" x14ac:dyDescent="0.5">
      <c r="A25" s="159"/>
      <c r="B25" s="159"/>
      <c r="C25" s="160"/>
      <c r="D25" s="164"/>
      <c r="E25" s="167"/>
      <c r="F25" s="156"/>
    </row>
    <row r="26" spans="1:6" ht="12.9" x14ac:dyDescent="0.5">
      <c r="A26" s="159"/>
      <c r="B26" s="159"/>
      <c r="C26" s="160"/>
      <c r="D26" s="164"/>
      <c r="E26" s="167"/>
      <c r="F26" s="156"/>
    </row>
    <row r="27" spans="1:6" ht="12.9" x14ac:dyDescent="0.5">
      <c r="A27" s="159"/>
      <c r="B27" s="159"/>
      <c r="C27" s="160"/>
      <c r="D27" s="164"/>
      <c r="E27" s="167"/>
      <c r="F27" s="156"/>
    </row>
    <row r="28" spans="1:6" ht="12.9" x14ac:dyDescent="0.5">
      <c r="A28" s="159"/>
      <c r="B28" s="159"/>
      <c r="C28" s="160"/>
      <c r="D28" s="164"/>
      <c r="E28" s="167"/>
      <c r="F28" s="156"/>
    </row>
    <row r="29" spans="1:6" ht="12.9" x14ac:dyDescent="0.5">
      <c r="A29" s="159"/>
      <c r="B29" s="159"/>
      <c r="C29" s="160"/>
      <c r="D29" s="164"/>
      <c r="E29" s="167"/>
      <c r="F29" s="156"/>
    </row>
    <row r="30" spans="1:6" ht="12.9" x14ac:dyDescent="0.5">
      <c r="A30" s="159"/>
      <c r="B30" s="159"/>
      <c r="C30" s="160"/>
      <c r="D30" s="164"/>
      <c r="E30" s="167"/>
      <c r="F30" s="156"/>
    </row>
    <row r="31" spans="1:6" ht="12.9" x14ac:dyDescent="0.5">
      <c r="A31" s="159"/>
      <c r="B31" s="159"/>
      <c r="C31" s="160"/>
      <c r="D31" s="164"/>
      <c r="E31" s="167"/>
      <c r="F31" s="156"/>
    </row>
    <row r="32" spans="1:6" ht="12.9" x14ac:dyDescent="0.55000000000000004">
      <c r="A32" s="156"/>
      <c r="B32" s="156"/>
      <c r="C32" s="156"/>
      <c r="D32" s="168"/>
      <c r="E32" s="163"/>
      <c r="F32" s="156"/>
    </row>
    <row r="37" spans="2:2" ht="12.6" x14ac:dyDescent="0.55000000000000004">
      <c r="B37" s="126"/>
    </row>
    <row r="40" spans="2:2" ht="12.6" x14ac:dyDescent="0.55000000000000004">
      <c r="B40" s="126"/>
    </row>
  </sheetData>
  <pageMargins left="0.25" right="0.25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Cloning</vt:lpstr>
      <vt:lpstr>Oligos</vt:lpstr>
      <vt:lpstr>Oligo Order (Sigma)</vt:lpstr>
      <vt:lpstr>Printouts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Bhakta</dc:creator>
  <cp:lastModifiedBy>Shyam Bhakta</cp:lastModifiedBy>
  <cp:lastPrinted>2018-06-07T01:48:08Z</cp:lastPrinted>
  <dcterms:created xsi:type="dcterms:W3CDTF">2016-09-11T22:54:24Z</dcterms:created>
  <dcterms:modified xsi:type="dcterms:W3CDTF">2018-08-22T02:18:26Z</dcterms:modified>
</cp:coreProperties>
</file>