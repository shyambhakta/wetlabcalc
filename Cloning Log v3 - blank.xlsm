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yam\Google Drive\Bennett Lab Drive\Tools\"/>
    </mc:Choice>
  </mc:AlternateContent>
  <xr:revisionPtr revIDLastSave="0" documentId="13_ncr:1_{70FDA9A5-3164-46DD-B0DE-1ADF9A763B53}" xr6:coauthVersionLast="34" xr6:coauthVersionMax="34" xr10:uidLastSave="{00000000-0000-0000-0000-000000000000}"/>
  <bookViews>
    <workbookView xWindow="0" yWindow="0" windowWidth="1704" windowHeight="0" tabRatio="659" xr2:uid="{00000000-000D-0000-FFFF-FFFF00000000}"/>
  </bookViews>
  <sheets>
    <sheet name="Cloning" sheetId="4" r:id="rId1"/>
    <sheet name="Oligos" sheetId="12" r:id="rId2"/>
    <sheet name="Oligo Order Form" sheetId="11" r:id="rId3"/>
    <sheet name="PartDefinitions" sheetId="3" r:id="rId4"/>
    <sheet name="Sandbox" sheetId="5" r:id="rId5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T8" i="4" l="1"/>
  <c r="AT9" i="4"/>
  <c r="AT10" i="4"/>
  <c r="AT11" i="4"/>
  <c r="AT12" i="4"/>
  <c r="AT13" i="4"/>
  <c r="AT14" i="4"/>
  <c r="AT15" i="4"/>
  <c r="AT16" i="4"/>
  <c r="AT17" i="4"/>
  <c r="AT18" i="4"/>
  <c r="AT19" i="4"/>
  <c r="AT20" i="4"/>
  <c r="AT21" i="4"/>
  <c r="AT22" i="4"/>
  <c r="AT23" i="4"/>
  <c r="AT24" i="4"/>
  <c r="AT25" i="4"/>
  <c r="AT26" i="4"/>
  <c r="AT27" i="4"/>
  <c r="AT28" i="4"/>
  <c r="AT29" i="4"/>
  <c r="AT30" i="4"/>
  <c r="AT31" i="4"/>
  <c r="AT32" i="4"/>
  <c r="AT33" i="4"/>
  <c r="AT34" i="4"/>
  <c r="AT35" i="4"/>
  <c r="AT36" i="4"/>
  <c r="AT37" i="4"/>
  <c r="AT38" i="4"/>
  <c r="AT39" i="4"/>
  <c r="AT40" i="4"/>
  <c r="AT41" i="4"/>
  <c r="AT42" i="4"/>
  <c r="AT43" i="4"/>
  <c r="AT44" i="4"/>
  <c r="AT45" i="4"/>
  <c r="AT46" i="4"/>
  <c r="AT47" i="4"/>
  <c r="AT48" i="4"/>
  <c r="AT49" i="4"/>
  <c r="AT50" i="4"/>
  <c r="AT51" i="4"/>
  <c r="AT52" i="4"/>
  <c r="AT53" i="4"/>
  <c r="AT54" i="4"/>
  <c r="AT55" i="4"/>
  <c r="AT56" i="4"/>
  <c r="AT57" i="4"/>
  <c r="AT58" i="4"/>
  <c r="AT59" i="4"/>
  <c r="AT60" i="4"/>
  <c r="AT61" i="4"/>
  <c r="AT62" i="4"/>
  <c r="AT63" i="4"/>
  <c r="AT64" i="4"/>
  <c r="AT65" i="4"/>
  <c r="AT66" i="4"/>
  <c r="AT67" i="4"/>
  <c r="AT68" i="4"/>
  <c r="AT69" i="4"/>
  <c r="AT70" i="4"/>
  <c r="AT71" i="4"/>
  <c r="AT72" i="4"/>
  <c r="AT73" i="4"/>
  <c r="AT74" i="4"/>
  <c r="AT75" i="4"/>
  <c r="AT76" i="4"/>
  <c r="AT77" i="4"/>
  <c r="AT78" i="4"/>
  <c r="AT79" i="4"/>
  <c r="AT80" i="4"/>
  <c r="AT81" i="4"/>
  <c r="AT82" i="4"/>
  <c r="AT83" i="4"/>
  <c r="AT84" i="4"/>
  <c r="AT85" i="4"/>
  <c r="AT86" i="4"/>
  <c r="AT87" i="4"/>
  <c r="AT88" i="4"/>
  <c r="AT7" i="4"/>
  <c r="AT5" i="4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S35" i="4"/>
  <c r="S43" i="4"/>
  <c r="S51" i="4"/>
  <c r="S59" i="4"/>
  <c r="S67" i="4"/>
  <c r="S83" i="4"/>
  <c r="S56" i="4"/>
  <c r="S36" i="4"/>
  <c r="S44" i="4"/>
  <c r="S52" i="4"/>
  <c r="S60" i="4"/>
  <c r="S68" i="4"/>
  <c r="S76" i="4"/>
  <c r="S88" i="4"/>
  <c r="S37" i="4"/>
  <c r="S45" i="4"/>
  <c r="S53" i="4"/>
  <c r="S61" i="4"/>
  <c r="S69" i="4"/>
  <c r="S77" i="4"/>
  <c r="S85" i="4"/>
  <c r="S62" i="4"/>
  <c r="S78" i="4"/>
  <c r="S79" i="4"/>
  <c r="S40" i="4"/>
  <c r="S80" i="4"/>
  <c r="S38" i="4"/>
  <c r="S46" i="4"/>
  <c r="S54" i="4"/>
  <c r="S70" i="4"/>
  <c r="S86" i="4"/>
  <c r="S48" i="4"/>
  <c r="S39" i="4"/>
  <c r="S47" i="4"/>
  <c r="S55" i="4"/>
  <c r="S63" i="4"/>
  <c r="S71" i="4"/>
  <c r="S87" i="4"/>
  <c r="S72" i="4"/>
  <c r="S41" i="4"/>
  <c r="S49" i="4"/>
  <c r="S57" i="4"/>
  <c r="S65" i="4"/>
  <c r="S73" i="4"/>
  <c r="S81" i="4"/>
  <c r="S42" i="4"/>
  <c r="S50" i="4"/>
  <c r="S58" i="4"/>
  <c r="S66" i="4"/>
  <c r="S74" i="4"/>
  <c r="S82" i="4"/>
  <c r="S75" i="4"/>
  <c r="S84" i="4"/>
  <c r="S64" i="4"/>
  <c r="S10" i="4"/>
  <c r="S18" i="4"/>
  <c r="S26" i="4"/>
  <c r="S34" i="4"/>
  <c r="S12" i="4"/>
  <c r="S28" i="4"/>
  <c r="S21" i="4"/>
  <c r="S29" i="4"/>
  <c r="S9" i="4"/>
  <c r="S33" i="4"/>
  <c r="S11" i="4"/>
  <c r="S19" i="4"/>
  <c r="S27" i="4"/>
  <c r="S20" i="4"/>
  <c r="S13" i="4"/>
  <c r="S24" i="4"/>
  <c r="S17" i="4"/>
  <c r="S14" i="4"/>
  <c r="S22" i="4"/>
  <c r="S30" i="4"/>
  <c r="S15" i="4"/>
  <c r="S23" i="4"/>
  <c r="S31" i="4"/>
  <c r="S8" i="4"/>
  <c r="S16" i="4"/>
  <c r="S32" i="4"/>
  <c r="S25" i="4"/>
  <c r="S7" i="4"/>
  <c r="C358" i="12" l="1"/>
  <c r="C359" i="12"/>
  <c r="C360" i="11" l="1"/>
  <c r="C361" i="11"/>
  <c r="C362" i="11"/>
  <c r="C356" i="11"/>
  <c r="C357" i="11"/>
  <c r="C358" i="11"/>
  <c r="C359" i="11"/>
  <c r="C348" i="11"/>
  <c r="C349" i="11"/>
  <c r="C350" i="11"/>
  <c r="C351" i="11"/>
  <c r="C352" i="11"/>
  <c r="C353" i="11"/>
  <c r="C354" i="11"/>
  <c r="C355" i="11"/>
  <c r="Y82" i="4" l="1"/>
  <c r="AC82" i="4" s="1"/>
  <c r="AG82" i="4" s="1"/>
  <c r="AH82" i="4" s="1"/>
  <c r="AC6" i="4"/>
  <c r="AD6" i="4" s="1"/>
  <c r="AE6" i="4" s="1"/>
  <c r="AJ6" i="4"/>
  <c r="AK6" i="4" s="1"/>
  <c r="AP5" i="4"/>
  <c r="AQ5" i="4"/>
  <c r="AR5" i="4"/>
  <c r="AS5" i="4"/>
  <c r="AC5" i="4"/>
  <c r="AG5" i="4" s="1"/>
  <c r="AD5" i="4" l="1"/>
  <c r="AL6" i="4"/>
  <c r="AD82" i="4"/>
  <c r="AE82" i="4" s="1"/>
  <c r="AG6" i="4"/>
  <c r="AH6" i="4" s="1"/>
  <c r="AJ5" i="4" l="1"/>
  <c r="AL5" i="4" s="1"/>
  <c r="AK5" i="4" l="1"/>
  <c r="C328" i="12" l="1"/>
  <c r="A328" i="11" s="1"/>
  <c r="C329" i="12"/>
  <c r="C330" i="12"/>
  <c r="A330" i="11" s="1"/>
  <c r="C331" i="12"/>
  <c r="A331" i="11" s="1"/>
  <c r="C332" i="12"/>
  <c r="A332" i="11" s="1"/>
  <c r="C333" i="12"/>
  <c r="A333" i="11" s="1"/>
  <c r="C334" i="12"/>
  <c r="A334" i="11" s="1"/>
  <c r="C335" i="12"/>
  <c r="A335" i="11" s="1"/>
  <c r="C336" i="12"/>
  <c r="A336" i="11" s="1"/>
  <c r="C337" i="12"/>
  <c r="A337" i="11" s="1"/>
  <c r="C338" i="12"/>
  <c r="A338" i="11" s="1"/>
  <c r="C339" i="12"/>
  <c r="A339" i="11" s="1"/>
  <c r="C340" i="12"/>
  <c r="C341" i="12"/>
  <c r="C342" i="12"/>
  <c r="C343" i="12"/>
  <c r="C344" i="12"/>
  <c r="C345" i="12"/>
  <c r="C346" i="12"/>
  <c r="C347" i="12"/>
  <c r="C348" i="12"/>
  <c r="A348" i="11" s="1"/>
  <c r="C349" i="12"/>
  <c r="A349" i="11" s="1"/>
  <c r="C350" i="12"/>
  <c r="A350" i="11" s="1"/>
  <c r="C351" i="12"/>
  <c r="A351" i="11" s="1"/>
  <c r="C352" i="12"/>
  <c r="A352" i="11" s="1"/>
  <c r="C353" i="12"/>
  <c r="A353" i="11" s="1"/>
  <c r="C354" i="12"/>
  <c r="A354" i="11" s="1"/>
  <c r="C355" i="12"/>
  <c r="A355" i="11" s="1"/>
  <c r="C356" i="12"/>
  <c r="A356" i="11" s="1"/>
  <c r="C357" i="12"/>
  <c r="A357" i="11" s="1"/>
  <c r="A358" i="11"/>
  <c r="A359" i="11"/>
  <c r="C360" i="12"/>
  <c r="A360" i="11" s="1"/>
  <c r="C361" i="12"/>
  <c r="A361" i="11" s="1"/>
  <c r="C362" i="12"/>
  <c r="A362" i="11" s="1"/>
  <c r="C363" i="12"/>
  <c r="A363" i="11" s="1"/>
  <c r="C364" i="12"/>
  <c r="A364" i="11" s="1"/>
  <c r="C365" i="12"/>
  <c r="A365" i="11" s="1"/>
  <c r="C366" i="12"/>
  <c r="A366" i="11" s="1"/>
  <c r="C367" i="12"/>
  <c r="A367" i="11" s="1"/>
  <c r="C368" i="12"/>
  <c r="A368" i="11" s="1"/>
  <c r="C369" i="12"/>
  <c r="A369" i="11" s="1"/>
  <c r="C370" i="12"/>
  <c r="A370" i="11" s="1"/>
  <c r="C371" i="12"/>
  <c r="A371" i="11" s="1"/>
  <c r="C372" i="12"/>
  <c r="A372" i="11" s="1"/>
  <c r="C373" i="12"/>
  <c r="A373" i="11" s="1"/>
  <c r="C374" i="12"/>
  <c r="A374" i="11" s="1"/>
  <c r="C375" i="12"/>
  <c r="A375" i="11" s="1"/>
  <c r="C376" i="12"/>
  <c r="A376" i="11" s="1"/>
  <c r="C377" i="12"/>
  <c r="A377" i="11" s="1"/>
  <c r="C378" i="12"/>
  <c r="A378" i="11" s="1"/>
  <c r="C379" i="12"/>
  <c r="A379" i="11" s="1"/>
  <c r="C380" i="12"/>
  <c r="A380" i="11" s="1"/>
  <c r="C381" i="12"/>
  <c r="A381" i="11" s="1"/>
  <c r="C382" i="12"/>
  <c r="A382" i="11" s="1"/>
  <c r="C383" i="12"/>
  <c r="A383" i="11" s="1"/>
  <c r="C384" i="12"/>
  <c r="A384" i="11" s="1"/>
  <c r="C385" i="12"/>
  <c r="A385" i="11" s="1"/>
  <c r="C386" i="12"/>
  <c r="A386" i="11" s="1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G328" i="12"/>
  <c r="G329" i="12"/>
  <c r="G330" i="12"/>
  <c r="G331" i="12"/>
  <c r="G332" i="12"/>
  <c r="G333" i="12"/>
  <c r="G334" i="12"/>
  <c r="G335" i="12"/>
  <c r="G336" i="12"/>
  <c r="G337" i="12"/>
  <c r="G338" i="12"/>
  <c r="G339" i="12"/>
  <c r="G340" i="12"/>
  <c r="G341" i="12"/>
  <c r="G342" i="12"/>
  <c r="G343" i="12"/>
  <c r="G344" i="12"/>
  <c r="G345" i="12"/>
  <c r="G346" i="12"/>
  <c r="G347" i="12"/>
  <c r="G348" i="12"/>
  <c r="G349" i="12"/>
  <c r="G350" i="12"/>
  <c r="G351" i="12"/>
  <c r="G352" i="12"/>
  <c r="G353" i="12"/>
  <c r="G354" i="12"/>
  <c r="G355" i="12"/>
  <c r="G356" i="12"/>
  <c r="G357" i="12"/>
  <c r="G358" i="12"/>
  <c r="G359" i="12"/>
  <c r="G360" i="12"/>
  <c r="G361" i="12"/>
  <c r="G362" i="12"/>
  <c r="G363" i="12"/>
  <c r="G364" i="12"/>
  <c r="G365" i="12"/>
  <c r="G366" i="12"/>
  <c r="G367" i="12"/>
  <c r="G368" i="12"/>
  <c r="G369" i="12"/>
  <c r="G370" i="12"/>
  <c r="G371" i="12"/>
  <c r="G372" i="12"/>
  <c r="G373" i="12"/>
  <c r="G374" i="12"/>
  <c r="G375" i="12"/>
  <c r="G376" i="12"/>
  <c r="G377" i="12"/>
  <c r="G378" i="12"/>
  <c r="G379" i="12"/>
  <c r="G380" i="12"/>
  <c r="G381" i="12"/>
  <c r="G382" i="12"/>
  <c r="G383" i="12"/>
  <c r="G384" i="12"/>
  <c r="G385" i="12"/>
  <c r="G386" i="12"/>
  <c r="G387" i="12"/>
  <c r="G388" i="12"/>
  <c r="G389" i="12"/>
  <c r="G390" i="12"/>
  <c r="G391" i="12"/>
  <c r="G392" i="12"/>
  <c r="G393" i="12"/>
  <c r="G394" i="12"/>
  <c r="G395" i="12"/>
  <c r="G396" i="12"/>
  <c r="G397" i="12"/>
  <c r="G398" i="12"/>
  <c r="G399" i="12"/>
  <c r="G400" i="12"/>
  <c r="G401" i="12"/>
  <c r="G402" i="12"/>
  <c r="G403" i="12"/>
  <c r="G404" i="12"/>
  <c r="G405" i="12"/>
  <c r="G406" i="12"/>
  <c r="C325" i="11"/>
  <c r="C326" i="11"/>
  <c r="C327" i="11"/>
  <c r="C328" i="11"/>
  <c r="A329" i="11"/>
  <c r="C329" i="11"/>
  <c r="C330" i="11"/>
  <c r="C331" i="11"/>
  <c r="C332" i="11"/>
  <c r="C333" i="11"/>
  <c r="C334" i="11"/>
  <c r="C335" i="11"/>
  <c r="C336" i="11"/>
  <c r="C337" i="11"/>
  <c r="C338" i="11"/>
  <c r="C339" i="11"/>
  <c r="AR84" i="4" l="1"/>
  <c r="AR85" i="4"/>
  <c r="AP8" i="4"/>
  <c r="AQ8" i="4"/>
  <c r="AR8" i="4"/>
  <c r="AS8" i="4"/>
  <c r="AP9" i="4"/>
  <c r="AQ9" i="4"/>
  <c r="AR9" i="4"/>
  <c r="AS9" i="4"/>
  <c r="AP10" i="4"/>
  <c r="AQ10" i="4"/>
  <c r="AR10" i="4"/>
  <c r="AS10" i="4"/>
  <c r="AP11" i="4"/>
  <c r="AQ11" i="4"/>
  <c r="AR11" i="4"/>
  <c r="AS11" i="4"/>
  <c r="AP12" i="4"/>
  <c r="AQ12" i="4"/>
  <c r="AR12" i="4"/>
  <c r="AS12" i="4"/>
  <c r="AP13" i="4"/>
  <c r="AQ13" i="4"/>
  <c r="AR13" i="4"/>
  <c r="AS13" i="4"/>
  <c r="AP14" i="4"/>
  <c r="AQ14" i="4"/>
  <c r="AR14" i="4"/>
  <c r="AS14" i="4"/>
  <c r="AP15" i="4"/>
  <c r="AQ15" i="4"/>
  <c r="AR15" i="4"/>
  <c r="AS15" i="4"/>
  <c r="AP16" i="4"/>
  <c r="AQ16" i="4"/>
  <c r="AR16" i="4"/>
  <c r="AS16" i="4"/>
  <c r="AP17" i="4"/>
  <c r="AQ17" i="4"/>
  <c r="AR17" i="4"/>
  <c r="AS17" i="4"/>
  <c r="AP18" i="4"/>
  <c r="AQ18" i="4"/>
  <c r="AR18" i="4"/>
  <c r="AS18" i="4"/>
  <c r="AP19" i="4"/>
  <c r="AQ19" i="4"/>
  <c r="AR19" i="4"/>
  <c r="AS19" i="4"/>
  <c r="AP20" i="4"/>
  <c r="AQ20" i="4"/>
  <c r="AR20" i="4"/>
  <c r="AS20" i="4"/>
  <c r="AP21" i="4"/>
  <c r="AQ21" i="4"/>
  <c r="AR21" i="4"/>
  <c r="AS21" i="4"/>
  <c r="AP22" i="4"/>
  <c r="AQ22" i="4"/>
  <c r="AR22" i="4"/>
  <c r="AS22" i="4"/>
  <c r="AP23" i="4"/>
  <c r="AQ23" i="4"/>
  <c r="AR23" i="4"/>
  <c r="AS23" i="4"/>
  <c r="AP24" i="4"/>
  <c r="AQ24" i="4"/>
  <c r="AR24" i="4"/>
  <c r="AS24" i="4"/>
  <c r="AP25" i="4"/>
  <c r="AQ25" i="4"/>
  <c r="AR25" i="4"/>
  <c r="AS25" i="4"/>
  <c r="AP26" i="4"/>
  <c r="AQ26" i="4"/>
  <c r="AR26" i="4"/>
  <c r="AS26" i="4"/>
  <c r="AP27" i="4"/>
  <c r="AQ27" i="4"/>
  <c r="AR27" i="4"/>
  <c r="AS27" i="4"/>
  <c r="AP28" i="4"/>
  <c r="AQ28" i="4"/>
  <c r="AR28" i="4"/>
  <c r="AS28" i="4"/>
  <c r="AP29" i="4"/>
  <c r="AQ29" i="4"/>
  <c r="AR29" i="4"/>
  <c r="AS29" i="4"/>
  <c r="AP30" i="4"/>
  <c r="AQ30" i="4"/>
  <c r="AR30" i="4"/>
  <c r="AS30" i="4"/>
  <c r="AP31" i="4"/>
  <c r="AQ31" i="4"/>
  <c r="AR31" i="4"/>
  <c r="AS31" i="4"/>
  <c r="AP32" i="4"/>
  <c r="AQ32" i="4"/>
  <c r="AR32" i="4"/>
  <c r="AS32" i="4"/>
  <c r="AP33" i="4"/>
  <c r="AQ33" i="4"/>
  <c r="AR33" i="4"/>
  <c r="AS33" i="4"/>
  <c r="AP34" i="4"/>
  <c r="AQ34" i="4"/>
  <c r="AR34" i="4"/>
  <c r="AS34" i="4"/>
  <c r="AP35" i="4"/>
  <c r="AQ35" i="4"/>
  <c r="AR35" i="4"/>
  <c r="AS35" i="4"/>
  <c r="AP36" i="4"/>
  <c r="AQ36" i="4"/>
  <c r="AR36" i="4"/>
  <c r="AS36" i="4"/>
  <c r="AP37" i="4"/>
  <c r="AQ37" i="4"/>
  <c r="AR37" i="4"/>
  <c r="AS37" i="4"/>
  <c r="AP38" i="4"/>
  <c r="AQ38" i="4"/>
  <c r="AR38" i="4"/>
  <c r="AS38" i="4"/>
  <c r="AP39" i="4"/>
  <c r="AQ39" i="4"/>
  <c r="AR39" i="4"/>
  <c r="AS39" i="4"/>
  <c r="AP40" i="4"/>
  <c r="AQ40" i="4"/>
  <c r="AR40" i="4"/>
  <c r="AS40" i="4"/>
  <c r="AP41" i="4"/>
  <c r="AQ41" i="4"/>
  <c r="AR41" i="4"/>
  <c r="AS41" i="4"/>
  <c r="AP42" i="4"/>
  <c r="AQ42" i="4"/>
  <c r="AR42" i="4"/>
  <c r="AS42" i="4"/>
  <c r="AP43" i="4"/>
  <c r="AQ43" i="4"/>
  <c r="AR43" i="4"/>
  <c r="AS43" i="4"/>
  <c r="AP44" i="4"/>
  <c r="AQ44" i="4"/>
  <c r="AR44" i="4"/>
  <c r="AS44" i="4"/>
  <c r="AP45" i="4"/>
  <c r="AQ45" i="4"/>
  <c r="AR45" i="4"/>
  <c r="AS45" i="4"/>
  <c r="AP46" i="4"/>
  <c r="AQ46" i="4"/>
  <c r="AR46" i="4"/>
  <c r="AS46" i="4"/>
  <c r="AP47" i="4"/>
  <c r="AQ47" i="4"/>
  <c r="AR47" i="4"/>
  <c r="AS47" i="4"/>
  <c r="AP48" i="4"/>
  <c r="AQ48" i="4"/>
  <c r="AR48" i="4"/>
  <c r="AS48" i="4"/>
  <c r="AP49" i="4"/>
  <c r="AQ49" i="4"/>
  <c r="AR49" i="4"/>
  <c r="AS49" i="4"/>
  <c r="AP50" i="4"/>
  <c r="AQ50" i="4"/>
  <c r="AR50" i="4"/>
  <c r="AS50" i="4"/>
  <c r="AP51" i="4"/>
  <c r="AQ51" i="4"/>
  <c r="AR51" i="4"/>
  <c r="AS51" i="4"/>
  <c r="AP52" i="4"/>
  <c r="AQ52" i="4"/>
  <c r="AR52" i="4"/>
  <c r="AS52" i="4"/>
  <c r="AP53" i="4"/>
  <c r="AQ53" i="4"/>
  <c r="AR53" i="4"/>
  <c r="AS53" i="4"/>
  <c r="AP54" i="4"/>
  <c r="AQ54" i="4"/>
  <c r="AR54" i="4"/>
  <c r="AS54" i="4"/>
  <c r="AP55" i="4"/>
  <c r="AQ55" i="4"/>
  <c r="AR55" i="4"/>
  <c r="AS55" i="4"/>
  <c r="AP56" i="4"/>
  <c r="AQ56" i="4"/>
  <c r="AR56" i="4"/>
  <c r="AS56" i="4"/>
  <c r="AP57" i="4"/>
  <c r="AQ57" i="4"/>
  <c r="AR57" i="4"/>
  <c r="AS57" i="4"/>
  <c r="AP58" i="4"/>
  <c r="AQ58" i="4"/>
  <c r="AR58" i="4"/>
  <c r="AS58" i="4"/>
  <c r="AP59" i="4"/>
  <c r="AQ59" i="4"/>
  <c r="AR59" i="4"/>
  <c r="AS59" i="4"/>
  <c r="AP60" i="4"/>
  <c r="AQ60" i="4"/>
  <c r="AR60" i="4"/>
  <c r="AS60" i="4"/>
  <c r="AP61" i="4"/>
  <c r="AQ61" i="4"/>
  <c r="AR61" i="4"/>
  <c r="AS61" i="4"/>
  <c r="AP62" i="4"/>
  <c r="AQ62" i="4"/>
  <c r="AR62" i="4"/>
  <c r="AS62" i="4"/>
  <c r="AP63" i="4"/>
  <c r="AQ63" i="4"/>
  <c r="AR63" i="4"/>
  <c r="AS63" i="4"/>
  <c r="AP64" i="4"/>
  <c r="AQ64" i="4"/>
  <c r="AR64" i="4"/>
  <c r="AS64" i="4"/>
  <c r="AP65" i="4"/>
  <c r="AQ65" i="4"/>
  <c r="AR65" i="4"/>
  <c r="AS65" i="4"/>
  <c r="AP66" i="4"/>
  <c r="AQ66" i="4"/>
  <c r="AR66" i="4"/>
  <c r="AS66" i="4"/>
  <c r="AP67" i="4"/>
  <c r="AQ67" i="4"/>
  <c r="AR67" i="4"/>
  <c r="AS67" i="4"/>
  <c r="AP68" i="4"/>
  <c r="AQ68" i="4"/>
  <c r="AR68" i="4"/>
  <c r="AS68" i="4"/>
  <c r="AP69" i="4"/>
  <c r="AQ69" i="4"/>
  <c r="AR69" i="4"/>
  <c r="AS69" i="4"/>
  <c r="AP70" i="4"/>
  <c r="AQ70" i="4"/>
  <c r="AR70" i="4"/>
  <c r="AS70" i="4"/>
  <c r="AP71" i="4"/>
  <c r="AQ71" i="4"/>
  <c r="AR71" i="4"/>
  <c r="AS71" i="4"/>
  <c r="AP72" i="4"/>
  <c r="AQ72" i="4"/>
  <c r="AR72" i="4"/>
  <c r="AS72" i="4"/>
  <c r="AP73" i="4"/>
  <c r="AQ73" i="4"/>
  <c r="AR73" i="4"/>
  <c r="AS73" i="4"/>
  <c r="AP74" i="4"/>
  <c r="AQ74" i="4"/>
  <c r="AR74" i="4"/>
  <c r="AS74" i="4"/>
  <c r="AP75" i="4"/>
  <c r="AQ75" i="4"/>
  <c r="AR75" i="4"/>
  <c r="AS75" i="4"/>
  <c r="AP76" i="4"/>
  <c r="AQ76" i="4"/>
  <c r="AR76" i="4"/>
  <c r="AS76" i="4"/>
  <c r="AP77" i="4"/>
  <c r="AQ77" i="4"/>
  <c r="AR77" i="4"/>
  <c r="AS77" i="4"/>
  <c r="AP78" i="4"/>
  <c r="AQ78" i="4"/>
  <c r="AR78" i="4"/>
  <c r="AS78" i="4"/>
  <c r="AP79" i="4"/>
  <c r="AQ79" i="4"/>
  <c r="AR79" i="4"/>
  <c r="AS79" i="4"/>
  <c r="AP80" i="4"/>
  <c r="AQ80" i="4"/>
  <c r="AR80" i="4"/>
  <c r="AS80" i="4"/>
  <c r="AP81" i="4"/>
  <c r="AQ81" i="4"/>
  <c r="AR81" i="4"/>
  <c r="AS81" i="4"/>
  <c r="AP82" i="4"/>
  <c r="AQ82" i="4"/>
  <c r="AR82" i="4"/>
  <c r="AS82" i="4"/>
  <c r="AP83" i="4"/>
  <c r="AQ83" i="4"/>
  <c r="AR83" i="4"/>
  <c r="AS83" i="4"/>
  <c r="AP84" i="4"/>
  <c r="AQ84" i="4"/>
  <c r="AS84" i="4"/>
  <c r="AP85" i="4"/>
  <c r="AQ85" i="4"/>
  <c r="AS85" i="4"/>
  <c r="AP86" i="4"/>
  <c r="AQ86" i="4"/>
  <c r="AR86" i="4"/>
  <c r="AS86" i="4"/>
  <c r="AP87" i="4"/>
  <c r="AQ87" i="4"/>
  <c r="AR87" i="4"/>
  <c r="AS87" i="4"/>
  <c r="AP88" i="4"/>
  <c r="AQ88" i="4"/>
  <c r="AR88" i="4"/>
  <c r="AS88" i="4"/>
  <c r="AR7" i="4"/>
  <c r="AS7" i="4"/>
  <c r="AQ7" i="4"/>
  <c r="AP7" i="4"/>
  <c r="C322" i="12" l="1"/>
  <c r="C323" i="12"/>
  <c r="C324" i="12"/>
  <c r="C325" i="12"/>
  <c r="A325" i="11" s="1"/>
  <c r="C326" i="12"/>
  <c r="A326" i="11" s="1"/>
  <c r="C327" i="12"/>
  <c r="A327" i="11" s="1"/>
  <c r="G322" i="12"/>
  <c r="G323" i="12"/>
  <c r="G324" i="12"/>
  <c r="G325" i="12"/>
  <c r="G326" i="12"/>
  <c r="G327" i="12"/>
  <c r="C316" i="12"/>
  <c r="C317" i="12"/>
  <c r="C318" i="12"/>
  <c r="C319" i="12"/>
  <c r="C320" i="12"/>
  <c r="C321" i="12"/>
  <c r="G316" i="12"/>
  <c r="G317" i="12"/>
  <c r="G318" i="12"/>
  <c r="G319" i="12"/>
  <c r="G320" i="12"/>
  <c r="G321" i="12"/>
  <c r="C310" i="12"/>
  <c r="C311" i="12"/>
  <c r="C312" i="12"/>
  <c r="C313" i="12"/>
  <c r="C314" i="12"/>
  <c r="C315" i="12"/>
  <c r="G310" i="12"/>
  <c r="G311" i="12"/>
  <c r="G312" i="12"/>
  <c r="G313" i="12"/>
  <c r="G314" i="12"/>
  <c r="G315" i="12"/>
  <c r="C266" i="11" l="1"/>
  <c r="W5" i="4"/>
  <c r="C248" i="12"/>
  <c r="C2" i="12"/>
  <c r="C3" i="12"/>
  <c r="C4" i="12"/>
  <c r="A4" i="11" s="1"/>
  <c r="C5" i="12"/>
  <c r="A5" i="11" s="1"/>
  <c r="C6" i="12"/>
  <c r="C7" i="12"/>
  <c r="C8" i="12"/>
  <c r="C9" i="12"/>
  <c r="C10" i="12"/>
  <c r="C11" i="12"/>
  <c r="C12" i="12"/>
  <c r="A12" i="11" s="1"/>
  <c r="C13" i="12"/>
  <c r="A13" i="11" s="1"/>
  <c r="C14" i="12"/>
  <c r="C15" i="12"/>
  <c r="C16" i="12"/>
  <c r="C17" i="12"/>
  <c r="C18" i="12"/>
  <c r="C19" i="12"/>
  <c r="C20" i="12"/>
  <c r="A20" i="11" s="1"/>
  <c r="C21" i="12"/>
  <c r="A21" i="11" s="1"/>
  <c r="C22" i="12"/>
  <c r="C23" i="12"/>
  <c r="C24" i="12"/>
  <c r="C25" i="12"/>
  <c r="C26" i="12"/>
  <c r="C27" i="12"/>
  <c r="C28" i="12"/>
  <c r="A28" i="11" s="1"/>
  <c r="C29" i="12"/>
  <c r="A29" i="11" s="1"/>
  <c r="C30" i="12"/>
  <c r="C31" i="12"/>
  <c r="C32" i="12"/>
  <c r="C33" i="12"/>
  <c r="C34" i="12"/>
  <c r="C35" i="12"/>
  <c r="C36" i="12"/>
  <c r="A36" i="11" s="1"/>
  <c r="C37" i="12"/>
  <c r="A37" i="11" s="1"/>
  <c r="C38" i="12"/>
  <c r="C39" i="12"/>
  <c r="C40" i="12"/>
  <c r="C41" i="12"/>
  <c r="C42" i="12"/>
  <c r="C43" i="12"/>
  <c r="C44" i="12"/>
  <c r="A44" i="11" s="1"/>
  <c r="C45" i="12"/>
  <c r="A45" i="11" s="1"/>
  <c r="C46" i="12"/>
  <c r="C47" i="12"/>
  <c r="C48" i="12"/>
  <c r="C49" i="12"/>
  <c r="C50" i="12"/>
  <c r="C51" i="12"/>
  <c r="C52" i="12"/>
  <c r="A52" i="11" s="1"/>
  <c r="C53" i="12"/>
  <c r="C54" i="12"/>
  <c r="C55" i="12"/>
  <c r="C56" i="12"/>
  <c r="C57" i="12"/>
  <c r="C58" i="12"/>
  <c r="C59" i="12"/>
  <c r="C60" i="12"/>
  <c r="A60" i="11" s="1"/>
  <c r="C61" i="12"/>
  <c r="A61" i="11" s="1"/>
  <c r="C62" i="12"/>
  <c r="C63" i="12"/>
  <c r="C64" i="12"/>
  <c r="C65" i="12"/>
  <c r="C66" i="12"/>
  <c r="C67" i="12"/>
  <c r="C68" i="12"/>
  <c r="A68" i="11" s="1"/>
  <c r="C69" i="12"/>
  <c r="A69" i="11" s="1"/>
  <c r="C70" i="12"/>
  <c r="C71" i="12"/>
  <c r="C72" i="12"/>
  <c r="C73" i="12"/>
  <c r="C74" i="12"/>
  <c r="C75" i="12"/>
  <c r="C76" i="12"/>
  <c r="A76" i="11" s="1"/>
  <c r="C77" i="12"/>
  <c r="A77" i="11" s="1"/>
  <c r="C78" i="12"/>
  <c r="C79" i="12"/>
  <c r="C80" i="12"/>
  <c r="C81" i="12"/>
  <c r="C82" i="12"/>
  <c r="C83" i="12"/>
  <c r="C84" i="12"/>
  <c r="A84" i="11" s="1"/>
  <c r="C85" i="12"/>
  <c r="A85" i="11" s="1"/>
  <c r="C86" i="12"/>
  <c r="C87" i="12"/>
  <c r="C88" i="12"/>
  <c r="C89" i="12"/>
  <c r="C90" i="12"/>
  <c r="C91" i="12"/>
  <c r="C92" i="12"/>
  <c r="A92" i="11" s="1"/>
  <c r="C93" i="12"/>
  <c r="A93" i="11" s="1"/>
  <c r="C94" i="12"/>
  <c r="C95" i="12"/>
  <c r="C96" i="12"/>
  <c r="C97" i="12"/>
  <c r="C98" i="12"/>
  <c r="C99" i="12"/>
  <c r="C100" i="12"/>
  <c r="A100" i="11" s="1"/>
  <c r="C101" i="12"/>
  <c r="A101" i="11" s="1"/>
  <c r="C102" i="12"/>
  <c r="C103" i="12"/>
  <c r="C104" i="12"/>
  <c r="C105" i="12"/>
  <c r="C106" i="12"/>
  <c r="C107" i="12"/>
  <c r="C108" i="12"/>
  <c r="A108" i="11" s="1"/>
  <c r="C109" i="12"/>
  <c r="A109" i="11" s="1"/>
  <c r="C110" i="12"/>
  <c r="C111" i="12"/>
  <c r="C112" i="12"/>
  <c r="C113" i="12"/>
  <c r="C114" i="12"/>
  <c r="C115" i="12"/>
  <c r="C116" i="12"/>
  <c r="A116" i="11" s="1"/>
  <c r="C117" i="12"/>
  <c r="C118" i="12"/>
  <c r="C119" i="12"/>
  <c r="C120" i="12"/>
  <c r="C121" i="12"/>
  <c r="C122" i="12"/>
  <c r="C123" i="12"/>
  <c r="C124" i="12"/>
  <c r="A124" i="11" s="1"/>
  <c r="C125" i="12"/>
  <c r="A125" i="11" s="1"/>
  <c r="C126" i="12"/>
  <c r="C127" i="12"/>
  <c r="C128" i="12"/>
  <c r="C129" i="12"/>
  <c r="C130" i="12"/>
  <c r="C131" i="12"/>
  <c r="C132" i="12"/>
  <c r="A132" i="11" s="1"/>
  <c r="C133" i="12"/>
  <c r="A133" i="11" s="1"/>
  <c r="C134" i="12"/>
  <c r="C135" i="12"/>
  <c r="C136" i="12"/>
  <c r="C137" i="12"/>
  <c r="C138" i="12"/>
  <c r="C139" i="12"/>
  <c r="C140" i="12"/>
  <c r="A140" i="11" s="1"/>
  <c r="C141" i="12"/>
  <c r="A141" i="11" s="1"/>
  <c r="C142" i="12"/>
  <c r="C143" i="12"/>
  <c r="C144" i="12"/>
  <c r="C145" i="12"/>
  <c r="C146" i="12"/>
  <c r="C147" i="12"/>
  <c r="C148" i="12"/>
  <c r="A148" i="11" s="1"/>
  <c r="C149" i="12"/>
  <c r="A149" i="11" s="1"/>
  <c r="C150" i="12"/>
  <c r="C151" i="12"/>
  <c r="C152" i="12"/>
  <c r="C153" i="12"/>
  <c r="C154" i="12"/>
  <c r="C155" i="12"/>
  <c r="C156" i="12"/>
  <c r="A156" i="11" s="1"/>
  <c r="C157" i="12"/>
  <c r="A157" i="11" s="1"/>
  <c r="C158" i="12"/>
  <c r="C159" i="12"/>
  <c r="C160" i="12"/>
  <c r="C161" i="12"/>
  <c r="C162" i="12"/>
  <c r="C163" i="12"/>
  <c r="C164" i="12"/>
  <c r="A164" i="11" s="1"/>
  <c r="C165" i="12"/>
  <c r="A165" i="11" s="1"/>
  <c r="C166" i="12"/>
  <c r="C167" i="12"/>
  <c r="C168" i="12"/>
  <c r="C169" i="12"/>
  <c r="C170" i="12"/>
  <c r="C171" i="12"/>
  <c r="C172" i="12"/>
  <c r="A172" i="11" s="1"/>
  <c r="C173" i="12"/>
  <c r="A173" i="11" s="1"/>
  <c r="C174" i="12"/>
  <c r="C175" i="12"/>
  <c r="C176" i="12"/>
  <c r="C177" i="12"/>
  <c r="C178" i="12"/>
  <c r="C179" i="12"/>
  <c r="C180" i="12"/>
  <c r="A180" i="11" s="1"/>
  <c r="C181" i="12"/>
  <c r="C182" i="12"/>
  <c r="C183" i="12"/>
  <c r="C184" i="12"/>
  <c r="C185" i="12"/>
  <c r="C186" i="12"/>
  <c r="C187" i="12"/>
  <c r="C188" i="12"/>
  <c r="A188" i="11" s="1"/>
  <c r="C189" i="12"/>
  <c r="A189" i="11" s="1"/>
  <c r="C190" i="12"/>
  <c r="C191" i="12"/>
  <c r="C192" i="12"/>
  <c r="C193" i="12"/>
  <c r="C194" i="12"/>
  <c r="C195" i="12"/>
  <c r="C196" i="12"/>
  <c r="A196" i="11" s="1"/>
  <c r="C197" i="12"/>
  <c r="A197" i="11" s="1"/>
  <c r="C198" i="12"/>
  <c r="C199" i="12"/>
  <c r="C200" i="12"/>
  <c r="A200" i="11" s="1"/>
  <c r="C201" i="12"/>
  <c r="A201" i="11" s="1"/>
  <c r="C202" i="12"/>
  <c r="C203" i="12"/>
  <c r="A203" i="11" s="1"/>
  <c r="C204" i="12"/>
  <c r="A204" i="11" s="1"/>
  <c r="C205" i="12"/>
  <c r="A205" i="11" s="1"/>
  <c r="C206" i="12"/>
  <c r="C207" i="12"/>
  <c r="C208" i="12"/>
  <c r="C209" i="12"/>
  <c r="C210" i="12"/>
  <c r="A210" i="11" s="1"/>
  <c r="C211" i="12"/>
  <c r="A211" i="11" s="1"/>
  <c r="C212" i="12"/>
  <c r="A212" i="11" s="1"/>
  <c r="C213" i="12"/>
  <c r="A213" i="11" s="1"/>
  <c r="C214" i="12"/>
  <c r="C215" i="12"/>
  <c r="C216" i="12"/>
  <c r="C217" i="12"/>
  <c r="C218" i="12"/>
  <c r="C219" i="12"/>
  <c r="A219" i="11" s="1"/>
  <c r="C220" i="12"/>
  <c r="A220" i="11" s="1"/>
  <c r="C221" i="12"/>
  <c r="A221" i="11" s="1"/>
  <c r="C222" i="12"/>
  <c r="C223" i="12"/>
  <c r="C224" i="12"/>
  <c r="C225" i="12"/>
  <c r="C226" i="12"/>
  <c r="A226" i="11" s="1"/>
  <c r="C227" i="12"/>
  <c r="A227" i="11" s="1"/>
  <c r="C228" i="12"/>
  <c r="C229" i="12"/>
  <c r="A229" i="11" s="1"/>
  <c r="C230" i="12"/>
  <c r="C231" i="12"/>
  <c r="C232" i="12"/>
  <c r="C233" i="12"/>
  <c r="C234" i="12"/>
  <c r="C235" i="12"/>
  <c r="A235" i="11" s="1"/>
  <c r="C236" i="12"/>
  <c r="A236" i="11" s="1"/>
  <c r="C237" i="12"/>
  <c r="A237" i="11" s="1"/>
  <c r="C238" i="12"/>
  <c r="C239" i="12"/>
  <c r="C240" i="12"/>
  <c r="C241" i="12"/>
  <c r="C242" i="12"/>
  <c r="C243" i="12"/>
  <c r="A243" i="11" s="1"/>
  <c r="C244" i="12"/>
  <c r="A244" i="11" s="1"/>
  <c r="C245" i="12"/>
  <c r="A245" i="11" s="1"/>
  <c r="C246" i="12"/>
  <c r="A246" i="11" s="1"/>
  <c r="C247" i="12"/>
  <c r="C249" i="12"/>
  <c r="C250" i="12"/>
  <c r="C251" i="12"/>
  <c r="A251" i="11" s="1"/>
  <c r="C252" i="12"/>
  <c r="A252" i="11" s="1"/>
  <c r="C253" i="12"/>
  <c r="A253" i="11" s="1"/>
  <c r="C254" i="12"/>
  <c r="A254" i="11" s="1"/>
  <c r="C255" i="12"/>
  <c r="A255" i="11" s="1"/>
  <c r="C256" i="12"/>
  <c r="C257" i="12"/>
  <c r="C258" i="12"/>
  <c r="C259" i="12"/>
  <c r="C260" i="12"/>
  <c r="A260" i="11" s="1"/>
  <c r="C261" i="12"/>
  <c r="A261" i="11" s="1"/>
  <c r="C262" i="12"/>
  <c r="A262" i="11" s="1"/>
  <c r="C263" i="12"/>
  <c r="A263" i="11" s="1"/>
  <c r="C264" i="12"/>
  <c r="C265" i="12"/>
  <c r="C266" i="12"/>
  <c r="C267" i="12"/>
  <c r="C268" i="12"/>
  <c r="A268" i="11" s="1"/>
  <c r="C269" i="12"/>
  <c r="A269" i="11" s="1"/>
  <c r="C270" i="12"/>
  <c r="A270" i="11" s="1"/>
  <c r="C271" i="12"/>
  <c r="A271" i="11" s="1"/>
  <c r="C272" i="12"/>
  <c r="C273" i="12"/>
  <c r="C274" i="12"/>
  <c r="C275" i="12"/>
  <c r="A275" i="11" s="1"/>
  <c r="C276" i="12"/>
  <c r="C277" i="12"/>
  <c r="A277" i="11" s="1"/>
  <c r="C278" i="12"/>
  <c r="A278" i="11" s="1"/>
  <c r="C279" i="12"/>
  <c r="A279" i="11" s="1"/>
  <c r="C280" i="12"/>
  <c r="C281" i="12"/>
  <c r="C282" i="12"/>
  <c r="C283" i="12"/>
  <c r="C284" i="12"/>
  <c r="A284" i="11" s="1"/>
  <c r="C285" i="12"/>
  <c r="A285" i="11" s="1"/>
  <c r="C286" i="12"/>
  <c r="A286" i="11" s="1"/>
  <c r="C287" i="12"/>
  <c r="A287" i="11" s="1"/>
  <c r="C288" i="12"/>
  <c r="A288" i="11" s="1"/>
  <c r="C289" i="12"/>
  <c r="C290" i="12"/>
  <c r="C291" i="12"/>
  <c r="A291" i="11" s="1"/>
  <c r="C292" i="12"/>
  <c r="A292" i="11" s="1"/>
  <c r="C293" i="12"/>
  <c r="A293" i="11" s="1"/>
  <c r="C294" i="12"/>
  <c r="A294" i="11" s="1"/>
  <c r="C295" i="12"/>
  <c r="C296" i="12"/>
  <c r="C297" i="12"/>
  <c r="C298" i="12"/>
  <c r="A298" i="11" s="1"/>
  <c r="C299" i="12"/>
  <c r="A299" i="11" s="1"/>
  <c r="C300" i="12"/>
  <c r="A300" i="11" s="1"/>
  <c r="C301" i="12"/>
  <c r="A301" i="11" s="1"/>
  <c r="C302" i="12"/>
  <c r="A302" i="11" s="1"/>
  <c r="C303" i="12"/>
  <c r="A303" i="11" s="1"/>
  <c r="C304" i="12"/>
  <c r="A304" i="11" s="1"/>
  <c r="C305" i="12"/>
  <c r="C306" i="12"/>
  <c r="C307" i="12"/>
  <c r="A307" i="11" s="1"/>
  <c r="C308" i="12"/>
  <c r="A308" i="11" s="1"/>
  <c r="C309" i="12"/>
  <c r="A309" i="11" s="1"/>
  <c r="G257" i="12"/>
  <c r="G258" i="12"/>
  <c r="G259" i="12"/>
  <c r="G260" i="12"/>
  <c r="G261" i="12"/>
  <c r="G262" i="12"/>
  <c r="G263" i="12"/>
  <c r="G264" i="12"/>
  <c r="G265" i="12"/>
  <c r="G266" i="12"/>
  <c r="G267" i="12"/>
  <c r="G268" i="12"/>
  <c r="G269" i="12"/>
  <c r="G270" i="12"/>
  <c r="G271" i="12"/>
  <c r="G272" i="12"/>
  <c r="G273" i="12"/>
  <c r="G274" i="12"/>
  <c r="G275" i="12"/>
  <c r="G276" i="12"/>
  <c r="G277" i="12"/>
  <c r="G278" i="12"/>
  <c r="G279" i="12"/>
  <c r="G280" i="12"/>
  <c r="G281" i="12"/>
  <c r="G282" i="12"/>
  <c r="G283" i="12"/>
  <c r="G284" i="12"/>
  <c r="G285" i="12"/>
  <c r="G286" i="12"/>
  <c r="G287" i="12"/>
  <c r="G288" i="12"/>
  <c r="G289" i="12"/>
  <c r="G290" i="12"/>
  <c r="G291" i="12"/>
  <c r="G292" i="12"/>
  <c r="G293" i="12"/>
  <c r="G294" i="12"/>
  <c r="G295" i="12"/>
  <c r="G296" i="12"/>
  <c r="G297" i="12"/>
  <c r="G298" i="12"/>
  <c r="G299" i="12"/>
  <c r="G300" i="12"/>
  <c r="G301" i="12"/>
  <c r="G302" i="12"/>
  <c r="G303" i="12"/>
  <c r="G304" i="12"/>
  <c r="G305" i="12"/>
  <c r="G306" i="12"/>
  <c r="G307" i="12"/>
  <c r="G308" i="12"/>
  <c r="G309" i="12"/>
  <c r="G246" i="12"/>
  <c r="G247" i="12"/>
  <c r="G248" i="12"/>
  <c r="G249" i="12"/>
  <c r="G250" i="12"/>
  <c r="G251" i="12"/>
  <c r="G252" i="12"/>
  <c r="G253" i="12"/>
  <c r="G254" i="12"/>
  <c r="G255" i="12"/>
  <c r="G256" i="12"/>
  <c r="Y85" i="4"/>
  <c r="Y29" i="4"/>
  <c r="G245" i="12"/>
  <c r="AI3" i="4"/>
  <c r="AE4" i="4"/>
  <c r="Y8" i="4"/>
  <c r="Y9" i="4"/>
  <c r="Y10" i="4"/>
  <c r="Y7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3" i="4"/>
  <c r="Y84" i="4"/>
  <c r="Y86" i="4"/>
  <c r="Y87" i="4"/>
  <c r="Y88" i="4"/>
  <c r="C12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40" i="11"/>
  <c r="C341" i="11"/>
  <c r="C342" i="11"/>
  <c r="C343" i="11"/>
  <c r="C344" i="11"/>
  <c r="C345" i="11"/>
  <c r="C346" i="11"/>
  <c r="C347" i="11"/>
  <c r="A247" i="11"/>
  <c r="A248" i="11"/>
  <c r="A249" i="11"/>
  <c r="A250" i="11"/>
  <c r="A256" i="11"/>
  <c r="A257" i="11"/>
  <c r="A258" i="11"/>
  <c r="A259" i="11"/>
  <c r="A264" i="11"/>
  <c r="A265" i="11"/>
  <c r="A266" i="11"/>
  <c r="A267" i="11"/>
  <c r="A272" i="11"/>
  <c r="A273" i="11"/>
  <c r="A274" i="11"/>
  <c r="A276" i="11"/>
  <c r="A280" i="11"/>
  <c r="A281" i="11"/>
  <c r="A282" i="11"/>
  <c r="A283" i="11"/>
  <c r="A289" i="11"/>
  <c r="A290" i="11"/>
  <c r="A295" i="11"/>
  <c r="A296" i="11"/>
  <c r="A297" i="11"/>
  <c r="A305" i="11"/>
  <c r="A306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40" i="11"/>
  <c r="A341" i="11"/>
  <c r="A342" i="11"/>
  <c r="A343" i="11"/>
  <c r="A344" i="11"/>
  <c r="A345" i="11"/>
  <c r="A346" i="11"/>
  <c r="A347" i="11"/>
  <c r="C236" i="11"/>
  <c r="C235" i="11"/>
  <c r="C234" i="11"/>
  <c r="C233" i="11"/>
  <c r="C232" i="11"/>
  <c r="A232" i="11"/>
  <c r="C231" i="11"/>
  <c r="A231" i="11"/>
  <c r="C230" i="11"/>
  <c r="C229" i="11"/>
  <c r="C228" i="11"/>
  <c r="C227" i="11"/>
  <c r="C226" i="11"/>
  <c r="C225" i="11"/>
  <c r="C224" i="11"/>
  <c r="C223" i="11"/>
  <c r="C222" i="11"/>
  <c r="C221" i="11"/>
  <c r="C220" i="11"/>
  <c r="C219" i="11"/>
  <c r="C218" i="11"/>
  <c r="C217" i="11"/>
  <c r="C216" i="11"/>
  <c r="C215" i="11"/>
  <c r="C214" i="11"/>
  <c r="C213" i="11"/>
  <c r="C212" i="11"/>
  <c r="C211" i="11"/>
  <c r="C210" i="11"/>
  <c r="C209" i="11"/>
  <c r="C208" i="11"/>
  <c r="C207" i="11"/>
  <c r="C206" i="11"/>
  <c r="C205" i="11"/>
  <c r="C204" i="11"/>
  <c r="C203" i="11"/>
  <c r="C202" i="11"/>
  <c r="C201" i="11"/>
  <c r="C200" i="11"/>
  <c r="C199" i="11"/>
  <c r="C198" i="11"/>
  <c r="C197" i="11"/>
  <c r="C196" i="11"/>
  <c r="C195" i="11"/>
  <c r="C194" i="11"/>
  <c r="C193" i="11"/>
  <c r="C192" i="11"/>
  <c r="C191" i="11"/>
  <c r="C190" i="11"/>
  <c r="C189" i="11"/>
  <c r="C188" i="11"/>
  <c r="C187" i="11"/>
  <c r="C186" i="11"/>
  <c r="C185" i="11"/>
  <c r="C184" i="11"/>
  <c r="C183" i="11"/>
  <c r="C182" i="11"/>
  <c r="C181" i="11"/>
  <c r="C180" i="11"/>
  <c r="C179" i="11"/>
  <c r="C178" i="11"/>
  <c r="C177" i="11"/>
  <c r="C176" i="11"/>
  <c r="C175" i="11"/>
  <c r="C174" i="11"/>
  <c r="C173" i="11"/>
  <c r="C172" i="11"/>
  <c r="C171" i="11"/>
  <c r="C170" i="11"/>
  <c r="C169" i="11"/>
  <c r="C168" i="11"/>
  <c r="C167" i="11"/>
  <c r="C166" i="11"/>
  <c r="C165" i="11"/>
  <c r="C164" i="11"/>
  <c r="C163" i="11"/>
  <c r="C162" i="11"/>
  <c r="C161" i="11"/>
  <c r="C160" i="11"/>
  <c r="C159" i="11"/>
  <c r="C158" i="11"/>
  <c r="C157" i="11"/>
  <c r="C156" i="11"/>
  <c r="C155" i="11"/>
  <c r="C154" i="11"/>
  <c r="C153" i="11"/>
  <c r="C152" i="11"/>
  <c r="C151" i="11"/>
  <c r="C150" i="11"/>
  <c r="C149" i="11"/>
  <c r="C148" i="11"/>
  <c r="C147" i="11"/>
  <c r="C146" i="11"/>
  <c r="C145" i="11"/>
  <c r="C144" i="11"/>
  <c r="C143" i="11"/>
  <c r="C142" i="11"/>
  <c r="C141" i="11"/>
  <c r="C140" i="11"/>
  <c r="C139" i="11"/>
  <c r="C138" i="11"/>
  <c r="C137" i="11"/>
  <c r="C136" i="11"/>
  <c r="C135" i="11"/>
  <c r="C134" i="11"/>
  <c r="C133" i="11"/>
  <c r="C132" i="11"/>
  <c r="C131" i="11"/>
  <c r="C130" i="11"/>
  <c r="C129" i="11"/>
  <c r="C128" i="11"/>
  <c r="C127" i="11"/>
  <c r="C126" i="11"/>
  <c r="C125" i="11"/>
  <c r="C124" i="11"/>
  <c r="C123" i="11"/>
  <c r="C122" i="11"/>
  <c r="C121" i="11"/>
  <c r="C120" i="11"/>
  <c r="C119" i="11"/>
  <c r="C118" i="11"/>
  <c r="C117" i="11"/>
  <c r="C116" i="11"/>
  <c r="C115" i="11"/>
  <c r="C114" i="11"/>
  <c r="C113" i="11"/>
  <c r="C112" i="11"/>
  <c r="C111" i="11"/>
  <c r="C110" i="11"/>
  <c r="C109" i="11"/>
  <c r="C108" i="11"/>
  <c r="C107" i="11"/>
  <c r="C106" i="11"/>
  <c r="C105" i="11"/>
  <c r="C104" i="11"/>
  <c r="C103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1" i="11"/>
  <c r="C10" i="11"/>
  <c r="C9" i="11"/>
  <c r="C8" i="11"/>
  <c r="A8" i="11"/>
  <c r="C7" i="11"/>
  <c r="C6" i="11"/>
  <c r="C5" i="11"/>
  <c r="C4" i="11"/>
  <c r="C3" i="11"/>
  <c r="C2" i="11"/>
  <c r="G244" i="12"/>
  <c r="G243" i="12"/>
  <c r="G242" i="12"/>
  <c r="A242" i="11"/>
  <c r="G241" i="12"/>
  <c r="A241" i="11"/>
  <c r="G240" i="12"/>
  <c r="A240" i="11"/>
  <c r="G239" i="12"/>
  <c r="A239" i="11"/>
  <c r="G238" i="12"/>
  <c r="A238" i="11"/>
  <c r="G237" i="12"/>
  <c r="G236" i="12"/>
  <c r="G235" i="12"/>
  <c r="G234" i="12"/>
  <c r="A234" i="11"/>
  <c r="G233" i="12"/>
  <c r="A233" i="11"/>
  <c r="G232" i="12"/>
  <c r="G231" i="12"/>
  <c r="G230" i="12"/>
  <c r="A230" i="11"/>
  <c r="G229" i="12"/>
  <c r="G228" i="12"/>
  <c r="A228" i="11"/>
  <c r="G227" i="12"/>
  <c r="G226" i="12"/>
  <c r="G225" i="12"/>
  <c r="A225" i="11"/>
  <c r="G224" i="12"/>
  <c r="A224" i="11"/>
  <c r="G223" i="12"/>
  <c r="A223" i="11"/>
  <c r="G222" i="12"/>
  <c r="A222" i="11"/>
  <c r="G221" i="12"/>
  <c r="G220" i="12"/>
  <c r="G219" i="12"/>
  <c r="G218" i="12"/>
  <c r="A218" i="11"/>
  <c r="G217" i="12"/>
  <c r="A217" i="11"/>
  <c r="G216" i="12"/>
  <c r="A216" i="11"/>
  <c r="G215" i="12"/>
  <c r="A215" i="11"/>
  <c r="G214" i="12"/>
  <c r="A214" i="11"/>
  <c r="G213" i="12"/>
  <c r="G212" i="12"/>
  <c r="G211" i="12"/>
  <c r="G210" i="12"/>
  <c r="G209" i="12"/>
  <c r="A209" i="11"/>
  <c r="G208" i="12"/>
  <c r="A208" i="11"/>
  <c r="G207" i="12"/>
  <c r="A207" i="11"/>
  <c r="G206" i="12"/>
  <c r="A206" i="11"/>
  <c r="G205" i="12"/>
  <c r="G204" i="12"/>
  <c r="G203" i="12"/>
  <c r="G202" i="12"/>
  <c r="A202" i="11"/>
  <c r="G201" i="12"/>
  <c r="G200" i="12"/>
  <c r="G199" i="12"/>
  <c r="A199" i="11"/>
  <c r="G198" i="12"/>
  <c r="A198" i="11"/>
  <c r="G197" i="12"/>
  <c r="G196" i="12"/>
  <c r="G195" i="12"/>
  <c r="A195" i="11"/>
  <c r="G194" i="12"/>
  <c r="A194" i="11"/>
  <c r="G193" i="12"/>
  <c r="A193" i="11"/>
  <c r="G192" i="12"/>
  <c r="A192" i="11"/>
  <c r="G191" i="12"/>
  <c r="A191" i="11"/>
  <c r="G190" i="12"/>
  <c r="A190" i="11"/>
  <c r="G189" i="12"/>
  <c r="G188" i="12"/>
  <c r="G187" i="12"/>
  <c r="A187" i="11"/>
  <c r="G186" i="12"/>
  <c r="A186" i="11"/>
  <c r="G185" i="12"/>
  <c r="A185" i="11"/>
  <c r="G184" i="12"/>
  <c r="A184" i="11"/>
  <c r="G183" i="12"/>
  <c r="A183" i="11"/>
  <c r="G182" i="12"/>
  <c r="A182" i="11"/>
  <c r="G181" i="12"/>
  <c r="A181" i="11"/>
  <c r="G180" i="12"/>
  <c r="G179" i="12"/>
  <c r="A179" i="11"/>
  <c r="G178" i="12"/>
  <c r="A178" i="11"/>
  <c r="G177" i="12"/>
  <c r="A177" i="11"/>
  <c r="G176" i="12"/>
  <c r="A176" i="11"/>
  <c r="G175" i="12"/>
  <c r="A175" i="11"/>
  <c r="G174" i="12"/>
  <c r="A174" i="11"/>
  <c r="G173" i="12"/>
  <c r="G172" i="12"/>
  <c r="G171" i="12"/>
  <c r="A171" i="11"/>
  <c r="G170" i="12"/>
  <c r="A170" i="11"/>
  <c r="G169" i="12"/>
  <c r="A169" i="11"/>
  <c r="G168" i="12"/>
  <c r="A168" i="11"/>
  <c r="G167" i="12"/>
  <c r="A167" i="11"/>
  <c r="G166" i="12"/>
  <c r="A166" i="11"/>
  <c r="G165" i="12"/>
  <c r="G164" i="12"/>
  <c r="G163" i="12"/>
  <c r="A163" i="11"/>
  <c r="G162" i="12"/>
  <c r="A162" i="11"/>
  <c r="G161" i="12"/>
  <c r="A161" i="11"/>
  <c r="G160" i="12"/>
  <c r="A160" i="11"/>
  <c r="G159" i="12"/>
  <c r="A159" i="11"/>
  <c r="G158" i="12"/>
  <c r="A158" i="11"/>
  <c r="G157" i="12"/>
  <c r="G156" i="12"/>
  <c r="G155" i="12"/>
  <c r="A155" i="11"/>
  <c r="G154" i="12"/>
  <c r="A154" i="11"/>
  <c r="G153" i="12"/>
  <c r="A153" i="11"/>
  <c r="G152" i="12"/>
  <c r="A152" i="11"/>
  <c r="G151" i="12"/>
  <c r="A151" i="11"/>
  <c r="G150" i="12"/>
  <c r="A150" i="11"/>
  <c r="G149" i="12"/>
  <c r="G148" i="12"/>
  <c r="G147" i="12"/>
  <c r="A147" i="11"/>
  <c r="G146" i="12"/>
  <c r="A146" i="11"/>
  <c r="G145" i="12"/>
  <c r="A145" i="11"/>
  <c r="G144" i="12"/>
  <c r="A144" i="11"/>
  <c r="G143" i="12"/>
  <c r="A143" i="11"/>
  <c r="G142" i="12"/>
  <c r="A142" i="11"/>
  <c r="G141" i="12"/>
  <c r="G140" i="12"/>
  <c r="G139" i="12"/>
  <c r="A139" i="11"/>
  <c r="G138" i="12"/>
  <c r="A138" i="11"/>
  <c r="G137" i="12"/>
  <c r="A137" i="11"/>
  <c r="G136" i="12"/>
  <c r="A136" i="11"/>
  <c r="G135" i="12"/>
  <c r="A135" i="11"/>
  <c r="G134" i="12"/>
  <c r="A134" i="11"/>
  <c r="G133" i="12"/>
  <c r="G132" i="12"/>
  <c r="G131" i="12"/>
  <c r="A131" i="11"/>
  <c r="G130" i="12"/>
  <c r="A130" i="11"/>
  <c r="G129" i="12"/>
  <c r="A129" i="11"/>
  <c r="G128" i="12"/>
  <c r="A128" i="11"/>
  <c r="G127" i="12"/>
  <c r="A127" i="11"/>
  <c r="G126" i="12"/>
  <c r="A126" i="11"/>
  <c r="G125" i="12"/>
  <c r="G124" i="12"/>
  <c r="G123" i="12"/>
  <c r="A123" i="11"/>
  <c r="G122" i="12"/>
  <c r="A122" i="11"/>
  <c r="G121" i="12"/>
  <c r="A121" i="11"/>
  <c r="G120" i="12"/>
  <c r="A120" i="11"/>
  <c r="G119" i="12"/>
  <c r="A119" i="11"/>
  <c r="G118" i="12"/>
  <c r="A118" i="11"/>
  <c r="G117" i="12"/>
  <c r="A117" i="11"/>
  <c r="G116" i="12"/>
  <c r="G115" i="12"/>
  <c r="A115" i="11"/>
  <c r="G114" i="12"/>
  <c r="A114" i="11"/>
  <c r="G113" i="12"/>
  <c r="A113" i="11"/>
  <c r="G112" i="12"/>
  <c r="A112" i="11"/>
  <c r="G111" i="12"/>
  <c r="A111" i="11"/>
  <c r="G110" i="12"/>
  <c r="A110" i="11"/>
  <c r="G109" i="12"/>
  <c r="G108" i="12"/>
  <c r="G107" i="12"/>
  <c r="A107" i="11"/>
  <c r="G106" i="12"/>
  <c r="A106" i="11"/>
  <c r="G105" i="12"/>
  <c r="A105" i="11"/>
  <c r="G104" i="12"/>
  <c r="A104" i="11"/>
  <c r="G103" i="12"/>
  <c r="A103" i="11"/>
  <c r="G102" i="12"/>
  <c r="A102" i="11"/>
  <c r="G101" i="12"/>
  <c r="G100" i="12"/>
  <c r="G99" i="12"/>
  <c r="A99" i="11"/>
  <c r="G98" i="12"/>
  <c r="A98" i="11"/>
  <c r="G97" i="12"/>
  <c r="A97" i="11"/>
  <c r="G96" i="12"/>
  <c r="A96" i="11"/>
  <c r="G95" i="12"/>
  <c r="A95" i="11"/>
  <c r="G94" i="12"/>
  <c r="A94" i="11"/>
  <c r="G93" i="12"/>
  <c r="G92" i="12"/>
  <c r="G91" i="12"/>
  <c r="A91" i="11"/>
  <c r="G90" i="12"/>
  <c r="A90" i="11"/>
  <c r="G89" i="12"/>
  <c r="A89" i="11"/>
  <c r="G88" i="12"/>
  <c r="A88" i="11"/>
  <c r="G87" i="12"/>
  <c r="A87" i="11"/>
  <c r="G86" i="12"/>
  <c r="A86" i="11"/>
  <c r="G85" i="12"/>
  <c r="G84" i="12"/>
  <c r="G83" i="12"/>
  <c r="A83" i="11"/>
  <c r="G82" i="12"/>
  <c r="A82" i="11"/>
  <c r="G81" i="12"/>
  <c r="A81" i="11"/>
  <c r="G80" i="12"/>
  <c r="A80" i="11"/>
  <c r="G79" i="12"/>
  <c r="A79" i="11"/>
  <c r="G78" i="12"/>
  <c r="A78" i="11"/>
  <c r="G77" i="12"/>
  <c r="G76" i="12"/>
  <c r="G75" i="12"/>
  <c r="A75" i="11"/>
  <c r="G74" i="12"/>
  <c r="A74" i="11"/>
  <c r="G73" i="12"/>
  <c r="A73" i="11"/>
  <c r="G72" i="12"/>
  <c r="A72" i="11"/>
  <c r="G71" i="12"/>
  <c r="A71" i="11"/>
  <c r="G70" i="12"/>
  <c r="A70" i="11"/>
  <c r="G69" i="12"/>
  <c r="G68" i="12"/>
  <c r="G67" i="12"/>
  <c r="A67" i="11"/>
  <c r="G66" i="12"/>
  <c r="A66" i="11"/>
  <c r="G65" i="12"/>
  <c r="A65" i="11"/>
  <c r="G64" i="12"/>
  <c r="A64" i="11"/>
  <c r="G63" i="12"/>
  <c r="A63" i="11"/>
  <c r="G62" i="12"/>
  <c r="A62" i="11"/>
  <c r="G61" i="12"/>
  <c r="G60" i="12"/>
  <c r="G59" i="12"/>
  <c r="A59" i="11"/>
  <c r="G58" i="12"/>
  <c r="A58" i="11"/>
  <c r="G57" i="12"/>
  <c r="A57" i="11"/>
  <c r="G56" i="12"/>
  <c r="A56" i="11"/>
  <c r="G55" i="12"/>
  <c r="A55" i="11"/>
  <c r="G54" i="12"/>
  <c r="A54" i="11"/>
  <c r="G53" i="12"/>
  <c r="A53" i="11"/>
  <c r="G52" i="12"/>
  <c r="G51" i="12"/>
  <c r="A51" i="11"/>
  <c r="G50" i="12"/>
  <c r="A50" i="11"/>
  <c r="G49" i="12"/>
  <c r="A49" i="11"/>
  <c r="G48" i="12"/>
  <c r="A48" i="11"/>
  <c r="G47" i="12"/>
  <c r="A47" i="11"/>
  <c r="G46" i="12"/>
  <c r="A46" i="11"/>
  <c r="G45" i="12"/>
  <c r="G44" i="12"/>
  <c r="G43" i="12"/>
  <c r="A43" i="11"/>
  <c r="G42" i="12"/>
  <c r="A42" i="11"/>
  <c r="G41" i="12"/>
  <c r="A41" i="11"/>
  <c r="G40" i="12"/>
  <c r="A40" i="11"/>
  <c r="G39" i="12"/>
  <c r="A39" i="11"/>
  <c r="G38" i="12"/>
  <c r="A38" i="11"/>
  <c r="G37" i="12"/>
  <c r="G36" i="12"/>
  <c r="G35" i="12"/>
  <c r="A35" i="11"/>
  <c r="G34" i="12"/>
  <c r="A34" i="11"/>
  <c r="G33" i="12"/>
  <c r="A33" i="11"/>
  <c r="G32" i="12"/>
  <c r="A32" i="11"/>
  <c r="G31" i="12"/>
  <c r="A31" i="11"/>
  <c r="G30" i="12"/>
  <c r="A30" i="11"/>
  <c r="G29" i="12"/>
  <c r="G28" i="12"/>
  <c r="G27" i="12"/>
  <c r="A27" i="11"/>
  <c r="G26" i="12"/>
  <c r="A26" i="11"/>
  <c r="G25" i="12"/>
  <c r="A25" i="11"/>
  <c r="G24" i="12"/>
  <c r="A24" i="11"/>
  <c r="G23" i="12"/>
  <c r="A23" i="11"/>
  <c r="G22" i="12"/>
  <c r="A22" i="11"/>
  <c r="G21" i="12"/>
  <c r="G20" i="12"/>
  <c r="G19" i="12"/>
  <c r="A19" i="11"/>
  <c r="G18" i="12"/>
  <c r="A18" i="11"/>
  <c r="G17" i="12"/>
  <c r="A17" i="11"/>
  <c r="G16" i="12"/>
  <c r="A16" i="11"/>
  <c r="G15" i="12"/>
  <c r="A15" i="11"/>
  <c r="G14" i="12"/>
  <c r="A14" i="11"/>
  <c r="G13" i="12"/>
  <c r="G12" i="12"/>
  <c r="G11" i="12"/>
  <c r="A11" i="11"/>
  <c r="G10" i="12"/>
  <c r="A10" i="11"/>
  <c r="G9" i="12"/>
  <c r="A9" i="11"/>
  <c r="G8" i="12"/>
  <c r="G7" i="12"/>
  <c r="A7" i="11"/>
  <c r="G6" i="12"/>
  <c r="A6" i="11"/>
  <c r="G5" i="12"/>
  <c r="G4" i="12"/>
  <c r="G3" i="12"/>
  <c r="A3" i="11"/>
  <c r="G2" i="12"/>
  <c r="A2" i="11"/>
  <c r="AC87" i="4" l="1"/>
  <c r="AC88" i="4"/>
  <c r="AC78" i="4"/>
  <c r="AC70" i="4"/>
  <c r="AC62" i="4"/>
  <c r="AC54" i="4"/>
  <c r="AC46" i="4"/>
  <c r="AC38" i="4"/>
  <c r="AC30" i="4"/>
  <c r="AC21" i="4"/>
  <c r="AJ21" i="4"/>
  <c r="AC13" i="4"/>
  <c r="AJ13" i="4"/>
  <c r="AC85" i="4"/>
  <c r="AC53" i="4"/>
  <c r="AC45" i="4"/>
  <c r="AC37" i="4"/>
  <c r="AC28" i="4"/>
  <c r="AJ28" i="4"/>
  <c r="AC20" i="4"/>
  <c r="AJ20" i="4"/>
  <c r="AC12" i="4"/>
  <c r="AJ12" i="4"/>
  <c r="AC69" i="4"/>
  <c r="AC76" i="4"/>
  <c r="AC60" i="4"/>
  <c r="AC52" i="4"/>
  <c r="AC11" i="4"/>
  <c r="AJ11" i="4"/>
  <c r="AC27" i="4"/>
  <c r="AJ27" i="4"/>
  <c r="AC84" i="4"/>
  <c r="AC75" i="4"/>
  <c r="AC67" i="4"/>
  <c r="AC59" i="4"/>
  <c r="AC51" i="4"/>
  <c r="AC43" i="4"/>
  <c r="AC35" i="4"/>
  <c r="AJ26" i="4"/>
  <c r="AC26" i="4"/>
  <c r="AC18" i="4"/>
  <c r="AJ18" i="4"/>
  <c r="AJ7" i="4"/>
  <c r="AC7" i="4"/>
  <c r="AC77" i="4"/>
  <c r="AC86" i="4"/>
  <c r="AC44" i="4"/>
  <c r="AC83" i="4"/>
  <c r="AC74" i="4"/>
  <c r="AC66" i="4"/>
  <c r="AC58" i="4"/>
  <c r="AC50" i="4"/>
  <c r="AC42" i="4"/>
  <c r="AC34" i="4"/>
  <c r="AC25" i="4"/>
  <c r="AJ25" i="4"/>
  <c r="AC17" i="4"/>
  <c r="AJ17" i="4"/>
  <c r="AC10" i="4"/>
  <c r="AJ10" i="4"/>
  <c r="AC19" i="4"/>
  <c r="AJ19" i="4"/>
  <c r="AC81" i="4"/>
  <c r="AC73" i="4"/>
  <c r="AC65" i="4"/>
  <c r="AC57" i="4"/>
  <c r="AC49" i="4"/>
  <c r="AC41" i="4"/>
  <c r="AC33" i="4"/>
  <c r="AC24" i="4"/>
  <c r="AJ24" i="4"/>
  <c r="AC16" i="4"/>
  <c r="AJ16" i="4"/>
  <c r="AC9" i="4"/>
  <c r="AJ9" i="4"/>
  <c r="AC36" i="4"/>
  <c r="AC80" i="4"/>
  <c r="AC72" i="4"/>
  <c r="AC64" i="4"/>
  <c r="AC56" i="4"/>
  <c r="AC48" i="4"/>
  <c r="AC40" i="4"/>
  <c r="AC32" i="4"/>
  <c r="AJ23" i="4"/>
  <c r="AC23" i="4"/>
  <c r="AC15" i="4"/>
  <c r="AJ15" i="4"/>
  <c r="AC8" i="4"/>
  <c r="AJ8" i="4"/>
  <c r="AC61" i="4"/>
  <c r="AC68" i="4"/>
  <c r="AC79" i="4"/>
  <c r="AC71" i="4"/>
  <c r="AC63" i="4"/>
  <c r="AC55" i="4"/>
  <c r="AC47" i="4"/>
  <c r="AC39" i="4"/>
  <c r="AC31" i="4"/>
  <c r="AC22" i="4"/>
  <c r="AJ22" i="4"/>
  <c r="AC14" i="4"/>
  <c r="AJ14" i="4"/>
  <c r="AC29" i="4"/>
  <c r="AD26" i="4" l="1"/>
  <c r="AE26" i="4" s="1"/>
  <c r="AG26" i="4"/>
  <c r="AH26" i="4" s="1"/>
  <c r="AD85" i="4"/>
  <c r="AE85" i="4" s="1"/>
  <c r="AG85" i="4"/>
  <c r="AH85" i="4" s="1"/>
  <c r="AD14" i="4"/>
  <c r="AE14" i="4" s="1"/>
  <c r="AG14" i="4"/>
  <c r="AH14" i="4" s="1"/>
  <c r="AD47" i="4"/>
  <c r="AE47" i="4" s="1"/>
  <c r="AG47" i="4"/>
  <c r="AH47" i="4" s="1"/>
  <c r="AD79" i="4"/>
  <c r="AE79" i="4" s="1"/>
  <c r="AG79" i="4"/>
  <c r="AH79" i="4" s="1"/>
  <c r="AL23" i="4"/>
  <c r="AK23" i="4"/>
  <c r="AD36" i="4"/>
  <c r="AE36" i="4" s="1"/>
  <c r="AG36" i="4"/>
  <c r="AH36" i="4" s="1"/>
  <c r="AD9" i="4"/>
  <c r="AE9" i="4" s="1"/>
  <c r="AG9" i="4"/>
  <c r="AH9" i="4" s="1"/>
  <c r="AD41" i="4"/>
  <c r="AE41" i="4" s="1"/>
  <c r="AG41" i="4"/>
  <c r="AH41" i="4" s="1"/>
  <c r="AD73" i="4"/>
  <c r="AE73" i="4" s="1"/>
  <c r="AG73" i="4"/>
  <c r="AH73" i="4" s="1"/>
  <c r="AD10" i="4"/>
  <c r="AE10" i="4" s="1"/>
  <c r="AG10" i="4"/>
  <c r="AH10" i="4" s="1"/>
  <c r="AD42" i="4"/>
  <c r="AE42" i="4" s="1"/>
  <c r="AG42" i="4"/>
  <c r="AH42" i="4" s="1"/>
  <c r="AG74" i="4"/>
  <c r="AH74" i="4" s="1"/>
  <c r="AD74" i="4"/>
  <c r="AE74" i="4" s="1"/>
  <c r="AK26" i="4"/>
  <c r="AL26" i="4"/>
  <c r="AD59" i="4"/>
  <c r="AE59" i="4" s="1"/>
  <c r="AG59" i="4"/>
  <c r="AH59" i="4" s="1"/>
  <c r="AD60" i="4"/>
  <c r="AE60" i="4" s="1"/>
  <c r="AG60" i="4"/>
  <c r="AH60" i="4" s="1"/>
  <c r="AD69" i="4"/>
  <c r="AE69" i="4" s="1"/>
  <c r="AG69" i="4"/>
  <c r="AH69" i="4" s="1"/>
  <c r="AD37" i="4"/>
  <c r="AE37" i="4" s="1"/>
  <c r="AG37" i="4"/>
  <c r="AH37" i="4" s="1"/>
  <c r="AG38" i="4"/>
  <c r="AH38" i="4" s="1"/>
  <c r="AD38" i="4"/>
  <c r="AE38" i="4" s="1"/>
  <c r="AD70" i="4"/>
  <c r="AE70" i="4" s="1"/>
  <c r="AG70" i="4"/>
  <c r="AH70" i="4" s="1"/>
  <c r="AD23" i="4"/>
  <c r="AE23" i="4" s="1"/>
  <c r="AG23" i="4"/>
  <c r="AH23" i="4" s="1"/>
  <c r="AL10" i="4"/>
  <c r="AK10" i="4"/>
  <c r="AL22" i="4"/>
  <c r="AK22" i="4"/>
  <c r="AD22" i="4"/>
  <c r="AE22" i="4" s="1"/>
  <c r="AG22" i="4"/>
  <c r="AH22" i="4" s="1"/>
  <c r="AD55" i="4"/>
  <c r="AE55" i="4" s="1"/>
  <c r="AG55" i="4"/>
  <c r="AH55" i="4" s="1"/>
  <c r="AD68" i="4"/>
  <c r="AE68" i="4" s="1"/>
  <c r="AG68" i="4"/>
  <c r="AH68" i="4" s="1"/>
  <c r="AD64" i="4"/>
  <c r="AE64" i="4" s="1"/>
  <c r="AG64" i="4"/>
  <c r="AH64" i="4" s="1"/>
  <c r="AD16" i="4"/>
  <c r="AE16" i="4" s="1"/>
  <c r="AG16" i="4"/>
  <c r="AH16" i="4" s="1"/>
  <c r="AD81" i="4"/>
  <c r="AE81" i="4" s="1"/>
  <c r="AG81" i="4"/>
  <c r="AH81" i="4" s="1"/>
  <c r="AD17" i="4"/>
  <c r="AE17" i="4" s="1"/>
  <c r="AG17" i="4"/>
  <c r="AH17" i="4" s="1"/>
  <c r="AD50" i="4"/>
  <c r="AE50" i="4" s="1"/>
  <c r="AG50" i="4"/>
  <c r="AH50" i="4" s="1"/>
  <c r="AG83" i="4"/>
  <c r="AH83" i="4" s="1"/>
  <c r="AD83" i="4"/>
  <c r="AE83" i="4" s="1"/>
  <c r="AD77" i="4"/>
  <c r="AE77" i="4" s="1"/>
  <c r="AG77" i="4"/>
  <c r="AH77" i="4" s="1"/>
  <c r="AD35" i="4"/>
  <c r="AE35" i="4" s="1"/>
  <c r="AG35" i="4"/>
  <c r="AH35" i="4" s="1"/>
  <c r="AD67" i="4"/>
  <c r="AE67" i="4" s="1"/>
  <c r="AG67" i="4"/>
  <c r="AH67" i="4" s="1"/>
  <c r="AD12" i="4"/>
  <c r="AE12" i="4" s="1"/>
  <c r="AG12" i="4"/>
  <c r="AH12" i="4" s="1"/>
  <c r="AD45" i="4"/>
  <c r="AE45" i="4" s="1"/>
  <c r="AG45" i="4"/>
  <c r="AH45" i="4" s="1"/>
  <c r="AD13" i="4"/>
  <c r="AE13" i="4" s="1"/>
  <c r="AG13" i="4"/>
  <c r="AH13" i="4" s="1"/>
  <c r="AD46" i="4"/>
  <c r="AE46" i="4" s="1"/>
  <c r="AG46" i="4"/>
  <c r="AH46" i="4" s="1"/>
  <c r="AG78" i="4"/>
  <c r="AH78" i="4" s="1"/>
  <c r="AD78" i="4"/>
  <c r="AE78" i="4" s="1"/>
  <c r="AL9" i="4"/>
  <c r="AK9" i="4"/>
  <c r="AL17" i="4"/>
  <c r="AK17" i="4"/>
  <c r="AD63" i="4"/>
  <c r="AE63" i="4" s="1"/>
  <c r="AG63" i="4"/>
  <c r="AH63" i="4" s="1"/>
  <c r="AL8" i="4"/>
  <c r="AK8" i="4"/>
  <c r="AG72" i="4"/>
  <c r="AH72" i="4" s="1"/>
  <c r="AD72" i="4"/>
  <c r="AE72" i="4" s="1"/>
  <c r="AL24" i="4"/>
  <c r="AK24" i="4"/>
  <c r="AL19" i="4"/>
  <c r="AK19" i="4"/>
  <c r="AL25" i="4"/>
  <c r="AK25" i="4"/>
  <c r="AD58" i="4"/>
  <c r="AE58" i="4" s="1"/>
  <c r="AG58" i="4"/>
  <c r="AH58" i="4" s="1"/>
  <c r="AG7" i="4"/>
  <c r="AH7" i="4" s="1"/>
  <c r="AD7" i="4"/>
  <c r="AE7" i="4" s="1"/>
  <c r="AL11" i="4"/>
  <c r="AK11" i="4"/>
  <c r="AL20" i="4"/>
  <c r="AK20" i="4"/>
  <c r="AL21" i="4"/>
  <c r="AK21" i="4"/>
  <c r="AG88" i="4"/>
  <c r="AH88" i="4" s="1"/>
  <c r="AD88" i="4"/>
  <c r="AE88" i="4" s="1"/>
  <c r="AG49" i="4"/>
  <c r="AH49" i="4" s="1"/>
  <c r="AD49" i="4"/>
  <c r="AE49" i="4" s="1"/>
  <c r="AD76" i="4"/>
  <c r="AE76" i="4" s="1"/>
  <c r="AG76" i="4"/>
  <c r="AH76" i="4" s="1"/>
  <c r="AD31" i="4"/>
  <c r="AE31" i="4" s="1"/>
  <c r="AG31" i="4"/>
  <c r="AH31" i="4" s="1"/>
  <c r="AD61" i="4"/>
  <c r="AE61" i="4" s="1"/>
  <c r="AG61" i="4"/>
  <c r="AH61" i="4" s="1"/>
  <c r="AD8" i="4"/>
  <c r="AE8" i="4" s="1"/>
  <c r="AG8" i="4"/>
  <c r="AH8" i="4" s="1"/>
  <c r="AD40" i="4"/>
  <c r="AE40" i="4" s="1"/>
  <c r="AG40" i="4"/>
  <c r="AH40" i="4" s="1"/>
  <c r="AD24" i="4"/>
  <c r="AE24" i="4" s="1"/>
  <c r="AG24" i="4"/>
  <c r="AH24" i="4" s="1"/>
  <c r="AD57" i="4"/>
  <c r="AE57" i="4" s="1"/>
  <c r="AG57" i="4"/>
  <c r="AH57" i="4" s="1"/>
  <c r="AD19" i="4"/>
  <c r="AE19" i="4" s="1"/>
  <c r="AG19" i="4"/>
  <c r="AH19" i="4" s="1"/>
  <c r="AD25" i="4"/>
  <c r="AE25" i="4" s="1"/>
  <c r="AG25" i="4"/>
  <c r="AH25" i="4" s="1"/>
  <c r="AD44" i="4"/>
  <c r="AE44" i="4" s="1"/>
  <c r="AG44" i="4"/>
  <c r="AH44" i="4" s="1"/>
  <c r="AK7" i="4"/>
  <c r="AL7" i="4"/>
  <c r="AD43" i="4"/>
  <c r="AE43" i="4" s="1"/>
  <c r="AG43" i="4"/>
  <c r="AH43" i="4" s="1"/>
  <c r="AD75" i="4"/>
  <c r="AE75" i="4" s="1"/>
  <c r="AG75" i="4"/>
  <c r="AH75" i="4" s="1"/>
  <c r="AD11" i="4"/>
  <c r="AE11" i="4" s="1"/>
  <c r="AG11" i="4"/>
  <c r="AH11" i="4" s="1"/>
  <c r="AG20" i="4"/>
  <c r="AH20" i="4" s="1"/>
  <c r="AD20" i="4"/>
  <c r="AE20" i="4" s="1"/>
  <c r="AD53" i="4"/>
  <c r="AE53" i="4" s="1"/>
  <c r="AG53" i="4"/>
  <c r="AH53" i="4" s="1"/>
  <c r="AG21" i="4"/>
  <c r="AH21" i="4" s="1"/>
  <c r="AD21" i="4"/>
  <c r="AE21" i="4" s="1"/>
  <c r="AD54" i="4"/>
  <c r="AE54" i="4" s="1"/>
  <c r="AG54" i="4"/>
  <c r="AH54" i="4" s="1"/>
  <c r="AL12" i="4"/>
  <c r="AK12" i="4"/>
  <c r="AD39" i="4"/>
  <c r="AE39" i="4" s="1"/>
  <c r="AG39" i="4"/>
  <c r="AH39" i="4" s="1"/>
  <c r="AL15" i="4"/>
  <c r="AK15" i="4"/>
  <c r="AD65" i="4"/>
  <c r="AE65" i="4" s="1"/>
  <c r="AG65" i="4"/>
  <c r="AH65" i="4" s="1"/>
  <c r="AK18" i="4"/>
  <c r="AL18" i="4"/>
  <c r="AL27" i="4"/>
  <c r="AK27" i="4"/>
  <c r="AL28" i="4"/>
  <c r="AK28" i="4"/>
  <c r="AL14" i="4"/>
  <c r="AK14" i="4"/>
  <c r="AD56" i="4"/>
  <c r="AE56" i="4" s="1"/>
  <c r="AG56" i="4"/>
  <c r="AH56" i="4" s="1"/>
  <c r="AD32" i="4"/>
  <c r="AE32" i="4" s="1"/>
  <c r="AG32" i="4"/>
  <c r="AH32" i="4" s="1"/>
  <c r="AL16" i="4"/>
  <c r="AK16" i="4"/>
  <c r="AL13" i="4"/>
  <c r="AK13" i="4"/>
  <c r="AD29" i="4"/>
  <c r="AE29" i="4" s="1"/>
  <c r="AG29" i="4"/>
  <c r="AH29" i="4" s="1"/>
  <c r="AD71" i="4"/>
  <c r="AE71" i="4" s="1"/>
  <c r="AG71" i="4"/>
  <c r="AH71" i="4" s="1"/>
  <c r="AD15" i="4"/>
  <c r="AE15" i="4" s="1"/>
  <c r="AG15" i="4"/>
  <c r="AH15" i="4" s="1"/>
  <c r="AD48" i="4"/>
  <c r="AE48" i="4" s="1"/>
  <c r="AG48" i="4"/>
  <c r="AH48" i="4" s="1"/>
  <c r="AD80" i="4"/>
  <c r="AE80" i="4" s="1"/>
  <c r="AG80" i="4"/>
  <c r="AH80" i="4" s="1"/>
  <c r="AD33" i="4"/>
  <c r="AE33" i="4" s="1"/>
  <c r="AG33" i="4"/>
  <c r="AH33" i="4" s="1"/>
  <c r="AG34" i="4"/>
  <c r="AH34" i="4" s="1"/>
  <c r="AD34" i="4"/>
  <c r="AE34" i="4" s="1"/>
  <c r="AD66" i="4"/>
  <c r="AE66" i="4" s="1"/>
  <c r="AG66" i="4"/>
  <c r="AH66" i="4" s="1"/>
  <c r="AG86" i="4"/>
  <c r="AH86" i="4" s="1"/>
  <c r="AD86" i="4"/>
  <c r="AE86" i="4" s="1"/>
  <c r="AD18" i="4"/>
  <c r="AE18" i="4" s="1"/>
  <c r="AG18" i="4"/>
  <c r="AH18" i="4" s="1"/>
  <c r="AD51" i="4"/>
  <c r="AE51" i="4" s="1"/>
  <c r="AG51" i="4"/>
  <c r="AH51" i="4" s="1"/>
  <c r="AD84" i="4"/>
  <c r="AE84" i="4" s="1"/>
  <c r="AG84" i="4"/>
  <c r="AH84" i="4" s="1"/>
  <c r="AD27" i="4"/>
  <c r="AE27" i="4" s="1"/>
  <c r="AG27" i="4"/>
  <c r="AH27" i="4" s="1"/>
  <c r="AG52" i="4"/>
  <c r="AH52" i="4" s="1"/>
  <c r="AD52" i="4"/>
  <c r="AE52" i="4" s="1"/>
  <c r="AD28" i="4"/>
  <c r="AE28" i="4" s="1"/>
  <c r="AG28" i="4"/>
  <c r="AH28" i="4" s="1"/>
  <c r="AD30" i="4"/>
  <c r="AE30" i="4" s="1"/>
  <c r="AG30" i="4"/>
  <c r="AH30" i="4" s="1"/>
  <c r="AD62" i="4"/>
  <c r="AE62" i="4" s="1"/>
  <c r="AG62" i="4"/>
  <c r="AH62" i="4" s="1"/>
  <c r="AD87" i="4"/>
  <c r="AE87" i="4" s="1"/>
  <c r="AG87" i="4"/>
  <c r="AH87" i="4" s="1"/>
  <c r="AH5" i="4"/>
  <c r="AE5" i="4"/>
</calcChain>
</file>

<file path=xl/sharedStrings.xml><?xml version="1.0" encoding="utf-8"?>
<sst xmlns="http://schemas.openxmlformats.org/spreadsheetml/2006/main" count="3370" uniqueCount="1659">
  <si>
    <t>ChlR</t>
  </si>
  <si>
    <t>3b</t>
  </si>
  <si>
    <t>3a</t>
  </si>
  <si>
    <t>2b</t>
  </si>
  <si>
    <t>2a</t>
  </si>
  <si>
    <t>Sequence</t>
  </si>
  <si>
    <t>Length</t>
  </si>
  <si>
    <t>Type</t>
  </si>
  <si>
    <t>Notes</t>
  </si>
  <si>
    <t>Description</t>
  </si>
  <si>
    <t>Name</t>
  </si>
  <si>
    <t>GACC</t>
  </si>
  <si>
    <t>TATG</t>
  </si>
  <si>
    <t>AACG</t>
  </si>
  <si>
    <t>GG</t>
  </si>
  <si>
    <t>2r</t>
  </si>
  <si>
    <t>GCTG</t>
  </si>
  <si>
    <t>234r</t>
  </si>
  <si>
    <t>GCGGCCGC</t>
  </si>
  <si>
    <t>GAGT</t>
  </si>
  <si>
    <t>TACA</t>
  </si>
  <si>
    <t>TGGC</t>
  </si>
  <si>
    <t>4b</t>
  </si>
  <si>
    <t>4a</t>
  </si>
  <si>
    <t>Part Sequence</t>
  </si>
  <si>
    <t>Part Type</t>
  </si>
  <si>
    <t>AW38/39</t>
  </si>
  <si>
    <t>redo</t>
  </si>
  <si>
    <t>predig vector</t>
  </si>
  <si>
    <t>pSPB###</t>
  </si>
  <si>
    <t>Example</t>
  </si>
  <si>
    <t>Golden Gate Rxns</t>
  </si>
  <si>
    <t xml:space="preserve"> Restriction Digest
and/or Genotyping PCR</t>
  </si>
  <si>
    <t>Test Digest / Test PCRs</t>
  </si>
  <si>
    <t>Miniprep</t>
  </si>
  <si>
    <t>Pick &amp; Culture Clones</t>
  </si>
  <si>
    <t>Transform</t>
  </si>
  <si>
    <t>Build Instructions</t>
  </si>
  <si>
    <t>Verification Instructions</t>
  </si>
  <si>
    <t>(8)</t>
  </si>
  <si>
    <t>(7)</t>
  </si>
  <si>
    <t>(6)</t>
  </si>
  <si>
    <t>(5)</t>
  </si>
  <si>
    <t>(4)</t>
  </si>
  <si>
    <t>(3)</t>
  </si>
  <si>
    <t>(2)</t>
  </si>
  <si>
    <t>(1)</t>
  </si>
  <si>
    <t>Experiment</t>
  </si>
  <si>
    <t>Complete</t>
  </si>
  <si>
    <t>In Progress</t>
  </si>
  <si>
    <t>Stalled</t>
  </si>
  <si>
    <t>Waiting</t>
  </si>
  <si>
    <t>Step Key:</t>
  </si>
  <si>
    <t>alt+I R/W/C/G</t>
  </si>
  <si>
    <t>Abandoned</t>
  </si>
  <si>
    <t>Dormant</t>
  </si>
  <si>
    <t>To Clone</t>
  </si>
  <si>
    <t>SPB</t>
  </si>
  <si>
    <t>Construct Key:</t>
  </si>
  <si>
    <t>p15A</t>
  </si>
  <si>
    <t>Features</t>
  </si>
  <si>
    <t>Start; GlySer</t>
  </si>
  <si>
    <r>
      <rPr>
        <sz val="11"/>
        <color theme="8"/>
        <rFont val="Calibri"/>
        <family val="2"/>
        <scheme val="minor"/>
      </rPr>
      <t>ACTAGT</t>
    </r>
    <r>
      <rPr>
        <sz val="11"/>
        <color theme="1"/>
        <rFont val="Calibri"/>
        <family val="2"/>
        <scheme val="minor"/>
      </rPr>
      <t>GCA</t>
    </r>
    <r>
      <rPr>
        <sz val="11"/>
        <color theme="8"/>
        <rFont val="Calibri"/>
        <family val="2"/>
        <scheme val="minor"/>
      </rPr>
      <t>CTGCAG</t>
    </r>
  </si>
  <si>
    <t>SpeI/PstI (BioBrick suffix)</t>
  </si>
  <si>
    <t>casS1</t>
  </si>
  <si>
    <t>cas12</t>
  </si>
  <si>
    <t>cas23</t>
  </si>
  <si>
    <t>cas34</t>
  </si>
  <si>
    <t>cas45</t>
  </si>
  <si>
    <t>cas56</t>
  </si>
  <si>
    <t>cas67</t>
  </si>
  <si>
    <t>cas78</t>
  </si>
  <si>
    <t>CCAA</t>
  </si>
  <si>
    <t>CGAC</t>
  </si>
  <si>
    <t>Part PCR</t>
  </si>
  <si>
    <t>CTCG</t>
  </si>
  <si>
    <t xml:space="preserve"> </t>
  </si>
  <si>
    <t>ConLS</t>
  </si>
  <si>
    <t>ConL1</t>
  </si>
  <si>
    <t>ConL2</t>
  </si>
  <si>
    <t>ConL3</t>
  </si>
  <si>
    <t>ConL4</t>
  </si>
  <si>
    <t>ConL5</t>
  </si>
  <si>
    <t>ConL6</t>
  </si>
  <si>
    <t>ConL7</t>
  </si>
  <si>
    <t>ConL8</t>
  </si>
  <si>
    <t>ConR1</t>
  </si>
  <si>
    <t>ConR2</t>
  </si>
  <si>
    <t>ConR3</t>
  </si>
  <si>
    <t>ConR4</t>
  </si>
  <si>
    <t>ConR5</t>
  </si>
  <si>
    <t>ConR6</t>
  </si>
  <si>
    <t>ConR7</t>
  </si>
  <si>
    <t>ConR8</t>
  </si>
  <si>
    <t>ConRE</t>
  </si>
  <si>
    <t>OpConL1</t>
  </si>
  <si>
    <t>OpConL2</t>
  </si>
  <si>
    <t>OpConL3</t>
  </si>
  <si>
    <t>OpConL4</t>
  </si>
  <si>
    <t>OpConL5</t>
  </si>
  <si>
    <t>OpConL6</t>
  </si>
  <si>
    <t>OpConL7</t>
  </si>
  <si>
    <t>OpConL8</t>
  </si>
  <si>
    <t>OpConR1</t>
  </si>
  <si>
    <t>OpConR2</t>
  </si>
  <si>
    <t>OpConR3</t>
  </si>
  <si>
    <t>OpConR4</t>
  </si>
  <si>
    <t>OpConR5</t>
  </si>
  <si>
    <t>OpConR6</t>
  </si>
  <si>
    <t>OpConR7</t>
  </si>
  <si>
    <t>-</t>
  </si>
  <si>
    <t>&lt;BsmBI, BsmBI&gt;</t>
  </si>
  <si>
    <t>NotI, NotI</t>
  </si>
  <si>
    <t>AGAG</t>
  </si>
  <si>
    <t>ConL BsmBI &gt;</t>
  </si>
  <si>
    <t>&lt; ConR BsmBI</t>
  </si>
  <si>
    <t>5' BsaI &gt;</t>
  </si>
  <si>
    <t>&lt; 3' BsaI</t>
  </si>
  <si>
    <t>Cut Site (5′)</t>
  </si>
  <si>
    <t>OH (5′)</t>
  </si>
  <si>
    <t>Extra Bases (5′)</t>
  </si>
  <si>
    <t>Extra Bases (3′)</t>
  </si>
  <si>
    <t>OH (3′)</t>
  </si>
  <si>
    <t>Cut Site (3′)</t>
  </si>
  <si>
    <t>Mid BsmBI &lt;</t>
  </si>
  <si>
    <t>Mid BsmBI &gt;</t>
  </si>
  <si>
    <r>
      <t>GGTCTC</t>
    </r>
    <r>
      <rPr>
        <sz val="11"/>
        <rFont val="Calibri"/>
        <family val="2"/>
        <scheme val="minor"/>
      </rPr>
      <t>a</t>
    </r>
  </si>
  <si>
    <t>5' BsmBI &gt;</t>
  </si>
  <si>
    <t>&lt; 3' BsmBI</t>
  </si>
  <si>
    <t>Mid BsaI &lt;</t>
  </si>
  <si>
    <t>Mid BsaI &gt;</t>
  </si>
  <si>
    <t/>
  </si>
  <si>
    <t>gcatCGTCTCactcgAATGTTTACTAAACGTCACCGCA</t>
  </si>
  <si>
    <t>gcatCGTCTCactcgAATGTCCAGATTAGATAAAAGTAAAGTGA</t>
  </si>
  <si>
    <t>gcatCGTCTCactcgAATGGCTGAAGCGCAAAATG</t>
  </si>
  <si>
    <t>A01</t>
  </si>
  <si>
    <t>A02</t>
  </si>
  <si>
    <t>A03</t>
  </si>
  <si>
    <t>A04</t>
  </si>
  <si>
    <t>A05</t>
  </si>
  <si>
    <t>A06</t>
  </si>
  <si>
    <t>A07</t>
  </si>
  <si>
    <t>A08</t>
  </si>
  <si>
    <t>A09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</si>
  <si>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</si>
  <si>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</si>
  <si>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</si>
  <si>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</si>
  <si>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</si>
  <si>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</si>
  <si>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</si>
  <si>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</si>
  <si>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</si>
  <si>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</si>
  <si>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</si>
  <si>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</si>
  <si>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</si>
  <si>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</si>
  <si>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</si>
  <si>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</si>
  <si>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</si>
  <si>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</si>
  <si>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</si>
  <si>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</si>
  <si>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</si>
  <si>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</si>
  <si>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</si>
  <si>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</si>
  <si>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</si>
  <si>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</si>
  <si>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</si>
  <si>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</si>
  <si>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</si>
  <si>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</si>
  <si>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</si>
  <si>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</si>
  <si>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</si>
  <si>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</si>
  <si>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</si>
  <si>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</si>
  <si>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</si>
  <si>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</si>
  <si>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</si>
  <si>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</si>
  <si>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</si>
  <si>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</si>
  <si>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</si>
  <si>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</si>
  <si>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</si>
  <si>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</si>
  <si>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</si>
  <si>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</si>
  <si>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</si>
  <si>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</si>
  <si>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</si>
  <si>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</si>
  <si>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</si>
  <si>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</si>
  <si>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</si>
  <si>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</si>
  <si>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</si>
  <si>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</si>
  <si>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</si>
  <si>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</si>
  <si>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</si>
  <si>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</si>
  <si>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</si>
  <si>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</si>
  <si>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</si>
  <si>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</si>
  <si>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</si>
  <si>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</si>
  <si>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</si>
  <si>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</si>
  <si>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</si>
  <si>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</si>
  <si>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ID</t>
  </si>
  <si>
    <t>Orderer</t>
  </si>
  <si>
    <t>ACGG</t>
  </si>
  <si>
    <t>sfgfp BioBrick</t>
  </si>
  <si>
    <t>ChlR P1 part vector</t>
  </si>
  <si>
    <t>ChlR P2 part vector</t>
  </si>
  <si>
    <t>pUC P1 part vector</t>
  </si>
  <si>
    <t>pUC P2 part vector</t>
  </si>
  <si>
    <t>GAGTttcagttccacaGGTACCcagaaggtgctt</t>
  </si>
  <si>
    <t>TTGGaagcaccttctgGGTACCtgtggaactgaa</t>
  </si>
  <si>
    <t>gcatCGTCTCactcgCCAAcccgtagaaaagatcaaagg</t>
  </si>
  <si>
    <t>gcatCGTCTCactcgCCAATTAATAAGATGATCTTCTTGAGATCG</t>
  </si>
  <si>
    <t>atgcCGTCTCactctCCGTatgtgagcaaaaggcca</t>
  </si>
  <si>
    <t>atgcCGTCTCactctCCGTTAGCGGAGTGTATACTGGCT</t>
  </si>
  <si>
    <t>GCCA</t>
  </si>
  <si>
    <t>ATCT</t>
  </si>
  <si>
    <t>ctcgGAGTttcagttccacaGGTACCcagaaggtgcttCCAA</t>
  </si>
  <si>
    <t>ctctTTGGaagcaccttctgGGTACCtgtggaactgaaACTC</t>
  </si>
  <si>
    <t>CCTAACGGGGGGCCTTTTTTTGTTTCTGGTCTgCC</t>
  </si>
  <si>
    <t>acagggcggggttttttttCCAATTATTGAAGGCCTC</t>
  </si>
  <si>
    <t>ctcgACGGaaaaaaaaaccccgcccctg</t>
  </si>
  <si>
    <t>aaaaaaaaccccgccctgtcaggggcggggtttttttttCCGT</t>
  </si>
  <si>
    <t>GGCCCCCCGTTAGGGAGGCCTTCAATAATTGG</t>
  </si>
  <si>
    <t>(1) ConL O1</t>
  </si>
  <si>
    <t>(1) ConL O2</t>
  </si>
  <si>
    <t>(1) ConL O3</t>
  </si>
  <si>
    <t>(1) ConL O4</t>
  </si>
  <si>
    <t>(1) ConL O5</t>
  </si>
  <si>
    <t>(1) ConL O6</t>
  </si>
  <si>
    <t>(1) ConL O7</t>
  </si>
  <si>
    <t>(1) ConL O8</t>
  </si>
  <si>
    <t>ConLp1 O9</t>
  </si>
  <si>
    <t>ConLp1 O10</t>
  </si>
  <si>
    <t>tcacGCGATGtaaggtCTCG</t>
  </si>
  <si>
    <t>ctctCGAGaccttaCATCGC</t>
  </si>
  <si>
    <t>GGGGGGCCTTTTTTCGTTTTGGTCCTTTTGTTATCA</t>
  </si>
  <si>
    <t>CTCGGTACCAAATTCCAGAAAAGAGGCCTCCCGAAA</t>
  </si>
  <si>
    <t>gcattactagtagcggccgctgcagttagttagttag</t>
  </si>
  <si>
    <t>ATAAAAAAGGGGAGCGGTTTCCCGCTCCCCTTATTGTTCGTCTACA</t>
  </si>
  <si>
    <t>ctctTGTAGACGAACAATAAGGGGAGCGGGAAA</t>
  </si>
  <si>
    <t>CCGCTCCCCTTTTTTATTGATAACAAAAGGACCAAAACG</t>
  </si>
  <si>
    <t>AAAAAAGGCCCCCCTTTCGGGAGGCCTCTTTTCTGGAA</t>
  </si>
  <si>
    <t>TTTGGTACCGAGctaactaactaactgcagcggccgctactagta</t>
  </si>
  <si>
    <t>ctcgAGAGaccCgtcCATCGC</t>
  </si>
  <si>
    <t>atgcGCGATGgacGggtCTCT</t>
  </si>
  <si>
    <t>ctaactaactaagaattcgcggccgcttctagag</t>
  </si>
  <si>
    <t>ttagttagttagGGcAGACCAGAAACAAAAAAA</t>
  </si>
  <si>
    <t>gtgactctagaagcggccgcgaattc</t>
  </si>
  <si>
    <t>atgcCGTCTCactctCAGCaagcgcgtctgaatagg</t>
  </si>
  <si>
    <r>
      <t>gcatCGTCTCa</t>
    </r>
    <r>
      <rPr>
        <b/>
        <sz val="11"/>
        <color theme="1"/>
        <rFont val="Consolas"/>
        <family val="3"/>
      </rPr>
      <t>TACA</t>
    </r>
    <r>
      <rPr>
        <sz val="11"/>
        <color theme="1"/>
        <rFont val="Consolas"/>
        <family val="3"/>
      </rPr>
      <t>accaataaaaaacgcccg</t>
    </r>
  </si>
  <si>
    <r>
      <t>atgcCGTCTCa</t>
    </r>
    <r>
      <rPr>
        <b/>
        <sz val="11"/>
        <color theme="1"/>
        <rFont val="Consolas"/>
        <family val="3"/>
      </rPr>
      <t>ACTC</t>
    </r>
    <r>
      <rPr>
        <sz val="11"/>
        <color theme="1"/>
        <rFont val="Consolas"/>
        <family val="3"/>
      </rPr>
      <t>ttgatcgggcacgtaag</t>
    </r>
  </si>
  <si>
    <r>
      <t>gcatCGTCTCa</t>
    </r>
    <r>
      <rPr>
        <b/>
        <sz val="11"/>
        <color theme="1"/>
        <rFont val="Consolas"/>
        <family val="3"/>
      </rPr>
      <t>CCAA</t>
    </r>
    <r>
      <rPr>
        <sz val="11"/>
        <color theme="1"/>
        <rFont val="Consolas"/>
        <family val="3"/>
      </rPr>
      <t>cccgtagaaaagatcaaagg</t>
    </r>
  </si>
  <si>
    <r>
      <t>atgcCGTCTCa</t>
    </r>
    <r>
      <rPr>
        <b/>
        <sz val="11"/>
        <color theme="1"/>
        <rFont val="Consolas"/>
        <family val="3"/>
      </rPr>
      <t>CCGT</t>
    </r>
    <r>
      <rPr>
        <sz val="11"/>
        <color theme="1"/>
        <rFont val="Consolas"/>
        <family val="3"/>
      </rPr>
      <t>atgtgagcaaaaggcca</t>
    </r>
  </si>
  <si>
    <r>
      <t>gataCGTCTCa</t>
    </r>
    <r>
      <rPr>
        <b/>
        <sz val="11"/>
        <color theme="1"/>
        <rFont val="Consolas"/>
        <family val="3"/>
      </rPr>
      <t>AGAG</t>
    </r>
    <r>
      <rPr>
        <sz val="11"/>
        <color theme="1"/>
        <rFont val="Consolas"/>
        <family val="3"/>
      </rPr>
      <t>ACCgtcCATCGCGGCCGCaccaataaaaaacgccc</t>
    </r>
  </si>
  <si>
    <r>
      <t>gataCGTCTCa</t>
    </r>
    <r>
      <rPr>
        <b/>
        <sz val="11"/>
        <color theme="1"/>
        <rFont val="Consolas"/>
        <family val="3"/>
      </rPr>
      <t>CGAG</t>
    </r>
    <r>
      <rPr>
        <sz val="11"/>
        <color theme="1"/>
        <rFont val="Consolas"/>
        <family val="3"/>
      </rPr>
      <t>ACCttaCATCGCggccgcATGTGAGCAAAAGGCC</t>
    </r>
  </si>
  <si>
    <t>No planned use</t>
  </si>
  <si>
    <t>DZ</t>
  </si>
  <si>
    <t>ConLX</t>
  </si>
  <si>
    <t>(1) left</t>
  </si>
  <si>
    <t>(1) right</t>
  </si>
  <si>
    <t>(5) right</t>
  </si>
  <si>
    <t>ConLX′</t>
  </si>
  <si>
    <t>OpConR8</t>
  </si>
  <si>
    <t>(2a) right</t>
  </si>
  <si>
    <t>(4) left</t>
  </si>
  <si>
    <t>PCRs, Oligo Assemblies, Digestions, Ligations</t>
  </si>
  <si>
    <t>AATG</t>
  </si>
  <si>
    <t>conLX'</t>
  </si>
  <si>
    <t>conRX'</t>
  </si>
  <si>
    <t>red, 2 mL TB</t>
  </si>
  <si>
    <t>4 clones</t>
  </si>
  <si>
    <t>clone B</t>
  </si>
  <si>
    <t>N/A</t>
  </si>
  <si>
    <t>PCRs /Anls /
Digests/gBlock</t>
  </si>
  <si>
    <t>DH10B</t>
  </si>
  <si>
    <t>TTCC</t>
  </si>
  <si>
    <t>34a</t>
  </si>
  <si>
    <t>(Re)design</t>
  </si>
  <si>
    <t>tGAGACGatgc</t>
  </si>
  <si>
    <t>rrfBt1 BioBrick</t>
  </si>
  <si>
    <r>
      <t>agta</t>
    </r>
    <r>
      <rPr>
        <b/>
        <sz val="11"/>
        <color theme="1"/>
        <rFont val="Consolas"/>
        <family val="3"/>
      </rPr>
      <t>CTCG</t>
    </r>
    <r>
      <rPr>
        <sz val="11"/>
        <color theme="1"/>
        <rFont val="Consolas"/>
        <family val="3"/>
      </rPr>
      <t>t</t>
    </r>
    <r>
      <rPr>
        <b/>
        <sz val="11"/>
        <color theme="1"/>
        <rFont val="Consolas"/>
        <family val="3"/>
      </rPr>
      <t>gagacg</t>
    </r>
    <r>
      <rPr>
        <sz val="11"/>
        <color theme="1"/>
        <rFont val="Consolas"/>
        <family val="3"/>
      </rPr>
      <t>TTGACGGCTAGCTCAGTC</t>
    </r>
  </si>
  <si>
    <r>
      <t>agta</t>
    </r>
    <r>
      <rPr>
        <b/>
        <sz val="11"/>
        <color theme="1"/>
        <rFont val="Consolas"/>
        <family val="3"/>
      </rPr>
      <t>CTCG</t>
    </r>
    <r>
      <rPr>
        <sz val="11"/>
        <color theme="1"/>
        <rFont val="Consolas"/>
        <family val="3"/>
      </rPr>
      <t>t</t>
    </r>
    <r>
      <rPr>
        <b/>
        <sz val="11"/>
        <color theme="1"/>
        <rFont val="Consolas"/>
        <family val="3"/>
      </rPr>
      <t>gagacg</t>
    </r>
    <r>
      <rPr>
        <sz val="11"/>
        <color theme="1"/>
        <rFont val="Consolas"/>
        <family val="3"/>
      </rPr>
      <t>ggcttactaaaagccagataacag</t>
    </r>
  </si>
  <si>
    <t>(81p0) pUC ConX vector P2</t>
  </si>
  <si>
    <t>(56p0) ChlR ConX vector P1</t>
  </si>
  <si>
    <r>
      <t>atgc</t>
    </r>
    <r>
      <rPr>
        <b/>
        <sz val="11"/>
        <color theme="1"/>
        <rFont val="Consolas"/>
        <family val="3"/>
      </rPr>
      <t>CGTCTC</t>
    </r>
    <r>
      <rPr>
        <sz val="11"/>
        <color theme="1"/>
        <rFont val="Consolas"/>
        <family val="3"/>
      </rPr>
      <t>a</t>
    </r>
    <r>
      <rPr>
        <b/>
        <sz val="11"/>
        <color theme="1"/>
        <rFont val="Consolas"/>
        <family val="3"/>
      </rPr>
      <t>GTTA</t>
    </r>
    <r>
      <rPr>
        <sz val="11"/>
        <color theme="1"/>
        <rFont val="Consolas"/>
        <family val="3"/>
      </rPr>
      <t>ttatattccccagaacatcagg</t>
    </r>
  </si>
  <si>
    <r>
      <t>atgc</t>
    </r>
    <r>
      <rPr>
        <b/>
        <sz val="11"/>
        <color theme="1"/>
        <rFont val="Consolas"/>
        <family val="3"/>
      </rPr>
      <t>CGTCTC</t>
    </r>
    <r>
      <rPr>
        <sz val="11"/>
        <color theme="1"/>
        <rFont val="Consolas"/>
        <family val="3"/>
      </rPr>
      <t>a</t>
    </r>
    <r>
      <rPr>
        <b/>
        <sz val="11"/>
        <color theme="1"/>
        <rFont val="Consolas"/>
        <family val="3"/>
      </rPr>
      <t>Gtta</t>
    </r>
    <r>
      <rPr>
        <sz val="11"/>
        <color theme="1"/>
        <rFont val="Consolas"/>
        <family val="3"/>
      </rPr>
      <t>ttacttatacagctcgtccatac</t>
    </r>
  </si>
  <si>
    <r>
      <t>GCAT</t>
    </r>
    <r>
      <rPr>
        <b/>
        <sz val="11"/>
        <color theme="1"/>
        <rFont val="Consolas"/>
        <family val="3"/>
      </rPr>
      <t>CGTCTC</t>
    </r>
    <r>
      <rPr>
        <sz val="11"/>
        <color theme="1"/>
        <rFont val="Consolas"/>
        <family val="3"/>
      </rPr>
      <t>A</t>
    </r>
    <r>
      <rPr>
        <b/>
        <sz val="11"/>
        <color theme="1"/>
        <rFont val="Consolas"/>
        <family val="3"/>
      </rPr>
      <t>taaC</t>
    </r>
    <r>
      <rPr>
        <sz val="11"/>
        <color theme="1"/>
        <rFont val="Consolas"/>
        <family val="3"/>
      </rPr>
      <t>CAGGCATCAAATAAAACGAAAGG</t>
    </r>
  </si>
  <si>
    <r>
      <t>ctga</t>
    </r>
    <r>
      <rPr>
        <b/>
        <sz val="11"/>
        <color theme="1"/>
        <rFont val="Consolas"/>
        <family val="3"/>
      </rPr>
      <t>CTCT</t>
    </r>
    <r>
      <rPr>
        <sz val="11"/>
        <color theme="1"/>
        <rFont val="Consolas"/>
        <family val="3"/>
      </rPr>
      <t>t</t>
    </r>
    <r>
      <rPr>
        <b/>
        <sz val="11"/>
        <color theme="1"/>
        <rFont val="Consolas"/>
        <family val="3"/>
      </rPr>
      <t>GAGACG</t>
    </r>
    <r>
      <rPr>
        <sz val="11"/>
        <color theme="1"/>
        <rFont val="Consolas"/>
        <family val="3"/>
      </rPr>
      <t>tatCATCGCgagagcgttcaccgac</t>
    </r>
  </si>
  <si>
    <r>
      <t>agta</t>
    </r>
    <r>
      <rPr>
        <b/>
        <sz val="11"/>
        <color theme="1"/>
        <rFont val="Consolas"/>
        <family val="3"/>
      </rPr>
      <t>CTCG</t>
    </r>
    <r>
      <rPr>
        <sz val="11"/>
        <color theme="1"/>
        <rFont val="Consolas"/>
        <family val="3"/>
      </rPr>
      <t>t</t>
    </r>
    <r>
      <rPr>
        <b/>
        <sz val="11"/>
        <color theme="1"/>
        <rFont val="Consolas"/>
        <family val="3"/>
      </rPr>
      <t>gagacgGAAAGTGAAACGTGATTTCATG</t>
    </r>
  </si>
  <si>
    <t>(56p1) AmpR ConX' vector P1</t>
  </si>
  <si>
    <t>AmpR P2 part vector</t>
  </si>
  <si>
    <r>
      <t>atgc</t>
    </r>
    <r>
      <rPr>
        <b/>
        <sz val="11"/>
        <color theme="1"/>
        <rFont val="Consolas"/>
        <family val="3"/>
      </rPr>
      <t>GGTCTC</t>
    </r>
    <r>
      <rPr>
        <sz val="11"/>
        <color theme="1"/>
        <rFont val="Consolas"/>
        <family val="3"/>
      </rPr>
      <t>a</t>
    </r>
    <r>
      <rPr>
        <b/>
        <sz val="11"/>
        <color theme="1"/>
        <rFont val="Consolas"/>
        <family val="3"/>
      </rPr>
      <t>ACTC</t>
    </r>
    <r>
      <rPr>
        <sz val="11"/>
        <color theme="1"/>
        <rFont val="Consolas"/>
        <family val="3"/>
      </rPr>
      <t>caggtggcacttttcgg</t>
    </r>
  </si>
  <si>
    <r>
      <t>gcat</t>
    </r>
    <r>
      <rPr>
        <b/>
        <sz val="11"/>
        <color theme="1"/>
        <rFont val="Consolas"/>
        <family val="3"/>
      </rPr>
      <t>GGTCTC</t>
    </r>
    <r>
      <rPr>
        <sz val="11"/>
        <color theme="1"/>
        <rFont val="Consolas"/>
        <family val="3"/>
      </rPr>
      <t>a</t>
    </r>
    <r>
      <rPr>
        <b/>
        <sz val="11"/>
        <color theme="1"/>
        <rFont val="Consolas"/>
        <family val="3"/>
      </rPr>
      <t>CCAA</t>
    </r>
    <r>
      <rPr>
        <sz val="11"/>
        <color theme="1"/>
        <rFont val="Consolas"/>
        <family val="3"/>
      </rPr>
      <t>cccgtagaaaagatcaaagg</t>
    </r>
  </si>
  <si>
    <t>(81p1) pUC ConX' vector P2</t>
  </si>
  <si>
    <r>
      <t>ctag</t>
    </r>
    <r>
      <rPr>
        <b/>
        <sz val="11"/>
        <color theme="1"/>
        <rFont val="Consolas"/>
        <family val="3"/>
      </rPr>
      <t>CTCT</t>
    </r>
    <r>
      <rPr>
        <sz val="11"/>
        <color theme="1"/>
        <rFont val="Consolas"/>
        <family val="3"/>
      </rPr>
      <t>t</t>
    </r>
    <r>
      <rPr>
        <b/>
        <sz val="11"/>
        <color theme="1"/>
        <rFont val="Consolas"/>
        <family val="3"/>
      </rPr>
      <t>GAGACG</t>
    </r>
    <r>
      <rPr>
        <sz val="11"/>
        <color theme="1"/>
        <rFont val="Consolas"/>
        <family val="3"/>
      </rPr>
      <t>TTaTTACTTATACAGCTCGTCCATAC</t>
    </r>
  </si>
  <si>
    <t>B01</t>
  </si>
  <si>
    <t>B02</t>
  </si>
  <si>
    <t>B03</t>
  </si>
  <si>
    <t>B04</t>
  </si>
  <si>
    <t>B05</t>
  </si>
  <si>
    <t>B06</t>
  </si>
  <si>
    <t>B07</t>
  </si>
  <si>
    <t>B08</t>
  </si>
  <si>
    <t>B09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</si>
  <si>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</si>
  <si>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</si>
  <si>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</si>
  <si>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</si>
  <si>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</si>
  <si>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</si>
  <si>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</si>
  <si>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</si>
  <si>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</si>
  <si>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</si>
  <si>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</si>
  <si>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</si>
  <si>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</si>
  <si>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</si>
  <si>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</si>
  <si>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</si>
  <si>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</si>
  <si>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</si>
  <si>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</si>
  <si>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</si>
  <si>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</si>
  <si>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</si>
  <si>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</si>
  <si>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B33</t>
  </si>
  <si>
    <t>B34</t>
  </si>
  <si>
    <t>B35</t>
  </si>
  <si>
    <t>B36</t>
  </si>
  <si>
    <t>B37</t>
  </si>
  <si>
    <t>B38</t>
  </si>
  <si>
    <t>B39</t>
  </si>
  <si>
    <t>B40</t>
  </si>
  <si>
    <t>B41</t>
  </si>
  <si>
    <t>B42</t>
  </si>
  <si>
    <t>B43</t>
  </si>
  <si>
    <t>B44</t>
  </si>
  <si>
    <t>B45</t>
  </si>
  <si>
    <t>B46</t>
  </si>
  <si>
    <t>B47</t>
  </si>
  <si>
    <t>B48</t>
  </si>
  <si>
    <t>B49</t>
  </si>
  <si>
    <t>B50</t>
  </si>
  <si>
    <t>B51</t>
  </si>
  <si>
    <t>B52</t>
  </si>
  <si>
    <t>B53</t>
  </si>
  <si>
    <t>B54</t>
  </si>
  <si>
    <t>B55</t>
  </si>
  <si>
    <t>B56</t>
  </si>
  <si>
    <t>B57</t>
  </si>
  <si>
    <t>B58</t>
  </si>
  <si>
    <t>B59</t>
  </si>
  <si>
    <t>B60</t>
  </si>
  <si>
    <t>B61</t>
  </si>
  <si>
    <t>B62</t>
  </si>
  <si>
    <t>B63</t>
  </si>
  <si>
    <t>B64</t>
  </si>
  <si>
    <t>B65</t>
  </si>
  <si>
    <t>B66</t>
  </si>
  <si>
    <t>B67</t>
  </si>
  <si>
    <t>B68</t>
  </si>
  <si>
    <t>B69</t>
  </si>
  <si>
    <t>B70</t>
  </si>
  <si>
    <t>B71</t>
  </si>
  <si>
    <t>B72</t>
  </si>
  <si>
    <t>B73</t>
  </si>
  <si>
    <t>B74</t>
  </si>
  <si>
    <t>B75</t>
  </si>
  <si>
    <t>B76</t>
  </si>
  <si>
    <t>B77</t>
  </si>
  <si>
    <t>B78</t>
  </si>
  <si>
    <t>B79</t>
  </si>
  <si>
    <t>B80</t>
  </si>
  <si>
    <t>B81</t>
  </si>
  <si>
    <r>
      <t>gata</t>
    </r>
    <r>
      <rPr>
        <b/>
        <sz val="11"/>
        <color theme="1"/>
        <rFont val="Consolas"/>
        <family val="3"/>
      </rPr>
      <t>GGTCTC</t>
    </r>
    <r>
      <rPr>
        <sz val="11"/>
        <color theme="1"/>
        <rFont val="Consolas"/>
        <family val="3"/>
      </rPr>
      <t>aA</t>
    </r>
    <r>
      <rPr>
        <b/>
        <sz val="11"/>
        <color theme="1"/>
        <rFont val="Consolas"/>
        <family val="3"/>
      </rPr>
      <t>GAGACG</t>
    </r>
    <r>
      <rPr>
        <sz val="11"/>
        <color theme="1"/>
        <rFont val="Consolas"/>
        <family val="3"/>
      </rPr>
      <t>gtcCATCGCGGCCGCgattatcaaaaaggatcttcacc</t>
    </r>
  </si>
  <si>
    <r>
      <t>gcat</t>
    </r>
    <r>
      <rPr>
        <b/>
        <sz val="11"/>
        <color theme="1"/>
        <rFont val="Consolas"/>
        <family val="3"/>
      </rPr>
      <t>CTCG</t>
    </r>
    <r>
      <rPr>
        <sz val="11"/>
        <color theme="1"/>
        <rFont val="Consolas"/>
        <family val="3"/>
      </rPr>
      <t>t</t>
    </r>
    <r>
      <rPr>
        <b/>
        <sz val="11"/>
        <color theme="1"/>
        <rFont val="Consolas"/>
        <family val="3"/>
      </rPr>
      <t>GAGACG</t>
    </r>
    <r>
      <rPr>
        <sz val="11"/>
        <color theme="1"/>
        <rFont val="Consolas"/>
        <family val="3"/>
      </rPr>
      <t>tatCATCGCttgacggctagctcagtc</t>
    </r>
  </si>
  <si>
    <r>
      <t>gata</t>
    </r>
    <r>
      <rPr>
        <b/>
        <sz val="11"/>
        <color theme="1"/>
        <rFont val="Consolas"/>
        <family val="3"/>
      </rPr>
      <t>GGTCTC</t>
    </r>
    <r>
      <rPr>
        <sz val="11"/>
        <color theme="1"/>
        <rFont val="Consolas"/>
        <family val="3"/>
      </rPr>
      <t>aC</t>
    </r>
    <r>
      <rPr>
        <b/>
        <sz val="11"/>
        <color theme="1"/>
        <rFont val="Consolas"/>
        <family val="3"/>
      </rPr>
      <t>GAGACG</t>
    </r>
    <r>
      <rPr>
        <sz val="11"/>
        <color theme="1"/>
        <rFont val="Consolas"/>
        <family val="3"/>
      </rPr>
      <t>ttaCATCGCggccgcATGTGAGCAAAAGGCC</t>
    </r>
  </si>
  <si>
    <r>
      <t>ATGC</t>
    </r>
    <r>
      <rPr>
        <b/>
        <sz val="11"/>
        <color theme="1"/>
        <rFont val="Consolas"/>
        <family val="3"/>
      </rPr>
      <t>GGTCTC</t>
    </r>
    <r>
      <rPr>
        <sz val="11"/>
        <color theme="1"/>
        <rFont val="Consolas"/>
        <family val="3"/>
      </rPr>
      <t>A</t>
    </r>
    <r>
      <rPr>
        <b/>
        <sz val="11"/>
        <color theme="1"/>
        <rFont val="Consolas"/>
        <family val="3"/>
      </rPr>
      <t>AACG</t>
    </r>
    <r>
      <rPr>
        <sz val="11"/>
        <color theme="1"/>
        <rFont val="Consolas"/>
        <family val="3"/>
      </rPr>
      <t>GAcACCGGCACACT</t>
    </r>
  </si>
  <si>
    <r>
      <t>GCAT</t>
    </r>
    <r>
      <rPr>
        <b/>
        <sz val="11"/>
        <color theme="1"/>
        <rFont val="Consolas"/>
        <family val="3"/>
      </rPr>
      <t>GGTCTC</t>
    </r>
    <r>
      <rPr>
        <sz val="11"/>
        <color theme="1"/>
        <rFont val="Consolas"/>
        <family val="3"/>
      </rPr>
      <t>A</t>
    </r>
    <r>
      <rPr>
        <b/>
        <sz val="11"/>
        <color theme="1"/>
        <rFont val="Consolas"/>
        <family val="3"/>
      </rPr>
      <t>CGTT</t>
    </r>
    <r>
      <rPr>
        <sz val="11"/>
        <color theme="1"/>
        <rFont val="Consolas"/>
        <family val="3"/>
      </rPr>
      <t>ATCGGGGAAGAAG</t>
    </r>
  </si>
  <si>
    <r>
      <t>gcat</t>
    </r>
    <r>
      <rPr>
        <b/>
        <sz val="11"/>
        <color theme="1"/>
        <rFont val="Consolas"/>
        <family val="3"/>
      </rPr>
      <t>CTCGcGAGACC</t>
    </r>
    <r>
      <rPr>
        <sz val="11"/>
        <color theme="1"/>
        <rFont val="Consolas"/>
        <family val="3"/>
      </rPr>
      <t>tatCATCGCggcttactaaaagccagataac</t>
    </r>
  </si>
  <si>
    <r>
      <t>ctga</t>
    </r>
    <r>
      <rPr>
        <b/>
        <sz val="11"/>
        <color theme="1"/>
        <rFont val="Consolas"/>
        <family val="3"/>
      </rPr>
      <t>CTCTcGAGACC</t>
    </r>
    <r>
      <rPr>
        <sz val="11"/>
        <color theme="1"/>
        <rFont val="Consolas"/>
        <family val="3"/>
      </rPr>
      <t>tatCATCGCgagagcgttcaccgac</t>
    </r>
  </si>
  <si>
    <t>ER22/23 on pSPB152, 520bp, 60°, 10s.</t>
  </si>
  <si>
    <t>ConL</t>
  </si>
  <si>
    <t>ConR</t>
  </si>
  <si>
    <t>gcatcgtctcactcgGAGTttgacaccctatcattgatag</t>
  </si>
  <si>
    <t>(7) tetA(B) P1</t>
  </si>
  <si>
    <t>(7) tetA(B) P4</t>
  </si>
  <si>
    <t>gcatCGTCTCactctTTGGaaaaattaaaaatgaagttttggagg</t>
  </si>
  <si>
    <t>DNA Assembly</t>
  </si>
  <si>
    <t>NotI 3.1: 420,5250 bp</t>
  </si>
  <si>
    <t>gcatCGTCTCaTCTCACTGGTGAAAAGAAAAAC</t>
  </si>
  <si>
    <t>atgcCGTCTCaGAGACtGGCAACAGCTGATTGC</t>
  </si>
  <si>
    <t>5' mod</t>
  </si>
  <si>
    <t>3' mod</t>
  </si>
  <si>
    <t>Scale</t>
  </si>
  <si>
    <t>Purification</t>
  </si>
  <si>
    <t>Format</t>
  </si>
  <si>
    <t>Concentration</t>
  </si>
  <si>
    <t>Number</t>
  </si>
  <si>
    <t>Dry</t>
  </si>
  <si>
    <t>DST</t>
  </si>
  <si>
    <t>ctcgcgacCTAGTgAAAGAGGAGAAAtactaAATG</t>
  </si>
  <si>
    <t>ctctCATTtagtaTTTCTCCTCTTTcactagGTCG</t>
  </si>
  <si>
    <t>(7) tetA(B)_rev P1</t>
  </si>
  <si>
    <t>On λ oop.t</t>
  </si>
  <si>
    <t>(7) tetA(B)_rev P4</t>
  </si>
  <si>
    <t>gcatCGTCTCactcgGAGTgattctcaccaataaaaaacgc</t>
  </si>
  <si>
    <t>gcatCGTCTCactctTTGGttgacaccctatcattgatagag</t>
  </si>
  <si>
    <t>ConL F seq</t>
  </si>
  <si>
    <t>ConR R seq</t>
  </si>
  <si>
    <t>gcatCGTCTCaCTTAattatttcgtcaccaaatg</t>
  </si>
  <si>
    <t>gcatCGTCTCaTAAGcacttgtctcctgtttac</t>
  </si>
  <si>
    <t>(7) tetA(B)_rev P6</t>
  </si>
  <si>
    <t>(7) tetA(B)_rev P2</t>
  </si>
  <si>
    <t>(7) tetA(B)_rev P3</t>
  </si>
  <si>
    <t>gcatCGTCTCaaACGcaatcaaattcggtg</t>
  </si>
  <si>
    <t>(7) tetA(B)_rev P5</t>
  </si>
  <si>
    <t>atgcCGTCTCaCGTttcaacccctacttcggtat</t>
  </si>
  <si>
    <t>CTCTTTTCTGGAATTTGGTACCGAGc</t>
  </si>
  <si>
    <t>GGCCTTTTTTTGTTTCTGGTCTgCC</t>
  </si>
  <si>
    <t>4c</t>
  </si>
  <si>
    <t>9a</t>
  </si>
  <si>
    <t>9b</t>
  </si>
  <si>
    <t>9c</t>
  </si>
  <si>
    <t>Promoter</t>
  </si>
  <si>
    <t>RBS/5'UTR</t>
  </si>
  <si>
    <t>CDS 1</t>
  </si>
  <si>
    <t>CDS 2</t>
  </si>
  <si>
    <t>CDS 3</t>
  </si>
  <si>
    <t>Terminator/3' UTR</t>
  </si>
  <si>
    <t>Selection Marker</t>
  </si>
  <si>
    <t>TF/Custom</t>
  </si>
  <si>
    <t>3' Homology</t>
  </si>
  <si>
    <t>Cond. Origin</t>
  </si>
  <si>
    <t>5' Homology</t>
  </si>
  <si>
    <t>CDS</t>
  </si>
  <si>
    <t>Origin</t>
  </si>
  <si>
    <t>5' Primer Overhang</t>
  </si>
  <si>
    <t>3' Primer Overhang</t>
  </si>
  <si>
    <t>65/65</t>
  </si>
  <si>
    <t>60/60</t>
  </si>
  <si>
    <t>cgatGGTCTCactcgTACAaccaataaaaaacgcccg</t>
  </si>
  <si>
    <t>gcatGGTCTCaGTAAtttAAAtgatatcgagctcgcttgg</t>
  </si>
  <si>
    <t>cgatGGTCTCtTTACgccccgccctgcc</t>
  </si>
  <si>
    <t>gcatGGTCTCaAAtGtggccaatatggacaacttc</t>
  </si>
  <si>
    <t>cgatGGTCTCaCaTTtaaatcaaaactggtgaaactc</t>
  </si>
  <si>
    <t>gcatGGTCTCactctACTCatttaaaTTGATCGGGCACGTAAG</t>
  </si>
  <si>
    <t>gcatGGTCTCactctACTCttgatcgggcacgt</t>
  </si>
  <si>
    <t>CTTC</t>
  </si>
  <si>
    <t>GATA</t>
  </si>
  <si>
    <t>GGTC</t>
  </si>
  <si>
    <t>(2) P1 Pxyl/tet</t>
  </si>
  <si>
    <t>(2) P2 Pxyl/tet</t>
  </si>
  <si>
    <t>(2) P1 Plac/ara-1</t>
  </si>
  <si>
    <t>(2) P2 Plac/ara-1</t>
  </si>
  <si>
    <t>(3) P1 BCD2</t>
  </si>
  <si>
    <t>(3) P2 BCD2</t>
  </si>
  <si>
    <t>(3) P2 BCD1</t>
  </si>
  <si>
    <t>(3) P1 BBa_B0034</t>
  </si>
  <si>
    <t>(3) P2 BBa_B0034</t>
  </si>
  <si>
    <t>(9) P1 ColE1_pUC</t>
  </si>
  <si>
    <t>(9) P2 ColE1_pUC</t>
  </si>
  <si>
    <t>(9) P1 p15A</t>
  </si>
  <si>
    <t>(9) P2 p15A</t>
  </si>
  <si>
    <t>(8) spacer O1 part vector</t>
  </si>
  <si>
    <t>(8) spacer O2 part vector</t>
  </si>
  <si>
    <t>(8) spacer O1</t>
  </si>
  <si>
    <t>(8) spacer O2</t>
  </si>
  <si>
    <t>(2345pr) P1 sfgfp,hc</t>
  </si>
  <si>
    <t>(2345pr) P2 sfgfp,hc</t>
  </si>
  <si>
    <t>(2345pr) P1 sfgfp,hc-rrfBt1</t>
  </si>
  <si>
    <t>(2345pr) P2 sfgfp,hc-rrfBt1</t>
  </si>
  <si>
    <t>(2345pr) P3 rrfBt1</t>
  </si>
  <si>
    <t>(2345pr0) P4 rrfBt1</t>
  </si>
  <si>
    <t>(2345pr0) P1 ccdB</t>
  </si>
  <si>
    <t>(2345pr0) P2 ccdB-rrfBt1</t>
  </si>
  <si>
    <t>(2345pr0) P1 glpTp-sfgfp</t>
  </si>
  <si>
    <t>(2345pr1) P1 ccdB</t>
  </si>
  <si>
    <t>(2345pr1) P2 ccdB</t>
  </si>
  <si>
    <t>(2345pr1) P3 ccdB</t>
  </si>
  <si>
    <t>(2345pr1) P4 rrfBt1</t>
  </si>
  <si>
    <t>(2345pr1) P1 glpTp-sfgfp</t>
  </si>
  <si>
    <t>gcatCTCGcGAGACCtatCATCGCgaaagtgaaacgtgatttcatgc</t>
  </si>
  <si>
    <t>CGCA</t>
  </si>
  <si>
    <t>acagggcggggttttttttCCAATTATTGAAGGCCG</t>
  </si>
  <si>
    <t>(6) ConR O1</t>
  </si>
  <si>
    <t>(6) ConR O2</t>
  </si>
  <si>
    <t>(6) ConR O3</t>
  </si>
  <si>
    <t>(6) ConR O4</t>
  </si>
  <si>
    <t>(6) ConR O5</t>
  </si>
  <si>
    <t>(6) ConR O6</t>
  </si>
  <si>
    <t>(6) ConR O7</t>
  </si>
  <si>
    <t>(6) ConR O8</t>
  </si>
  <si>
    <t>(6) ConRp1 O9</t>
  </si>
  <si>
    <t>(6) ConRp1 O10</t>
  </si>
  <si>
    <t>CTAACGCGGCCTTTTTTTGTTTCTGGTCTgCC</t>
  </si>
  <si>
    <t>(1p) ConL new O2</t>
  </si>
  <si>
    <t>(1p) ConL new O3</t>
  </si>
  <si>
    <t>(1p) ConL new O4</t>
  </si>
  <si>
    <t>(1p) ConL new O6</t>
  </si>
  <si>
    <t>(1p) ConL new O7</t>
  </si>
  <si>
    <t>(1p) ConL new O8</t>
  </si>
  <si>
    <t>CCGCGTTAGCGGCCTTCAATAATTGG</t>
  </si>
  <si>
    <t>ttagtcattgattaaGGcAGACCAGAAACAAAAAAAGG</t>
  </si>
  <si>
    <t>ttaatcaatgactaaGAATTCGCGGCCGCTTCTAGAGggtCTCG</t>
  </si>
  <si>
    <t>CTCTCGAGaccCTCTAGAAGCGGCCGCGAATTC</t>
  </si>
  <si>
    <t>(6p) ConR new O1</t>
  </si>
  <si>
    <t>CTCgAGAGaccTACTAGTAGCGGCCGCTGCAGttaatcactgattaa</t>
  </si>
  <si>
    <t>(6p) ConR new O5</t>
  </si>
  <si>
    <t>TTTGGTACCGAGttaatcagtgattaaCTGCAGCGGCCGCTACTAGTAggtCTCT</t>
  </si>
  <si>
    <t>CGTT</t>
  </si>
  <si>
    <t>TCAT</t>
  </si>
  <si>
    <t>ACCA</t>
  </si>
  <si>
    <t>CACT</t>
  </si>
  <si>
    <t>GCAC</t>
  </si>
  <si>
    <t>TGCG</t>
  </si>
  <si>
    <t>cas9,10</t>
  </si>
  <si>
    <t>cas10,11</t>
  </si>
  <si>
    <t>cas11,E</t>
  </si>
  <si>
    <t>CTAT</t>
  </si>
  <si>
    <t>TCGC</t>
  </si>
  <si>
    <t>CTCgAGAGaccTACTAGTAGCG</t>
  </si>
  <si>
    <t>GCCGCTGCAGttaatcactgatt</t>
  </si>
  <si>
    <t>aaCTCGGTACCAAATTCCAGAAAAGAGGCCTCCCGAAA</t>
  </si>
  <si>
    <t>ttaaCTGCAGCGGCCGCTACTAGTAggtCTCT</t>
  </si>
  <si>
    <t>TTTGGTACCGAGttaatcagt</t>
  </si>
  <si>
    <r>
      <t>gcatCGTCTCa</t>
    </r>
    <r>
      <rPr>
        <b/>
        <sz val="11"/>
        <color theme="1"/>
        <rFont val="Consolas"/>
        <family val="3"/>
      </rPr>
      <t>ctcgCGAC</t>
    </r>
    <r>
      <rPr>
        <sz val="11"/>
        <color theme="1"/>
        <rFont val="Consolas"/>
        <family val="3"/>
      </rPr>
      <t>gggcccaagttcactt</t>
    </r>
  </si>
  <si>
    <r>
      <t>atgcCGTCTCa</t>
    </r>
    <r>
      <rPr>
        <b/>
        <sz val="11"/>
        <rFont val="Consolas"/>
        <family val="3"/>
      </rPr>
      <t>ctctCATT</t>
    </r>
    <r>
      <rPr>
        <sz val="11"/>
        <rFont val="Consolas"/>
        <family val="3"/>
      </rPr>
      <t>agaaaacctccttagcatg</t>
    </r>
  </si>
  <si>
    <r>
      <t>atgcCGTCTCa</t>
    </r>
    <r>
      <rPr>
        <b/>
        <sz val="11"/>
        <color theme="1"/>
        <rFont val="Consolas"/>
        <family val="3"/>
      </rPr>
      <t>ctctCATT</t>
    </r>
    <r>
      <rPr>
        <sz val="11"/>
        <color theme="1"/>
        <rFont val="Consolas"/>
        <family val="3"/>
      </rPr>
      <t>agaaagtctcctgtgcatgattaagatgtttcagtac</t>
    </r>
  </si>
  <si>
    <t>Promoter 1/2</t>
  </si>
  <si>
    <t>Promoter 2/2</t>
  </si>
  <si>
    <t>Tl Insulator</t>
  </si>
  <si>
    <t>RBS</t>
  </si>
  <si>
    <t>Part</t>
  </si>
  <si>
    <t>n</t>
  </si>
  <si>
    <t>···NNN···</t>
  </si>
  <si>
    <t>part-defining sequence</t>
  </si>
  <si>
    <t>Part Oligo 1</t>
  </si>
  <si>
    <t>Oligo1 (5′-)</t>
  </si>
  <si>
    <t>–</t>
  </si>
  <si>
    <t>Part Oligo 2</t>
  </si>
  <si>
    <t>Oligo2 (3′-)</t>
  </si>
  <si>
    <t>ConL/ConL'</t>
  </si>
  <si>
    <t>5' UTR (+RBS)</t>
  </si>
  <si>
    <t>Start</t>
  </si>
  <si>
    <t>GlySer</t>
  </si>
  <si>
    <t>Terminator</t>
  </si>
  <si>
    <t>Resistance Marker</t>
  </si>
  <si>
    <t>Tx Factor, Secondary Marker (Fluorescent, Counterselection/screen)</t>
  </si>
  <si>
    <t>Replication Origin</t>
  </si>
  <si>
    <t>Replication Origin (Conditional)</t>
  </si>
  <si>
    <t>Ribozyme Insulator</t>
  </si>
  <si>
    <r>
      <t>cgatCGTCTCactcg</t>
    </r>
    <r>
      <rPr>
        <b/>
        <sz val="11"/>
        <color theme="1"/>
        <rFont val="Consolas"/>
        <family val="3"/>
      </rPr>
      <t>AATG</t>
    </r>
    <r>
      <rPr>
        <sz val="11"/>
        <color theme="1"/>
        <rFont val="Consolas"/>
        <family val="3"/>
      </rPr>
      <t>AAACATTCTTCCGATATCTG</t>
    </r>
  </si>
  <si>
    <t>(4) vioA P1</t>
  </si>
  <si>
    <t>(4) vioA P2</t>
  </si>
  <si>
    <t>(6p) ConR new O1a</t>
  </si>
  <si>
    <t>(6p) ConR new O1b</t>
  </si>
  <si>
    <t>(6p) ConR new O2</t>
  </si>
  <si>
    <t>(6p) ConR new O5a</t>
  </si>
  <si>
    <t>(6p) ConR new O5b</t>
  </si>
  <si>
    <r>
      <t>cgatCGTCTCactcg</t>
    </r>
    <r>
      <rPr>
        <b/>
        <sz val="11"/>
        <color theme="1"/>
        <rFont val="Consolas"/>
        <family val="3"/>
      </rPr>
      <t>AATG</t>
    </r>
    <r>
      <rPr>
        <sz val="11"/>
        <color theme="1"/>
        <rFont val="Consolas"/>
        <family val="3"/>
      </rPr>
      <t>AGCATTCTGGATTTCC</t>
    </r>
  </si>
  <si>
    <t>(4) vioB P1</t>
  </si>
  <si>
    <t>(4) vioB P2</t>
  </si>
  <si>
    <t>(4) vioE P1</t>
  </si>
  <si>
    <t>(4) vioE P2</t>
  </si>
  <si>
    <t>(4) vioD P1</t>
  </si>
  <si>
    <t>(4) vioD P2</t>
  </si>
  <si>
    <t>(4) vioC P1</t>
  </si>
  <si>
    <t>(4) vioC P2</t>
  </si>
  <si>
    <r>
      <t>cgatCGTCTCactcg</t>
    </r>
    <r>
      <rPr>
        <b/>
        <sz val="11"/>
        <color theme="1"/>
        <rFont val="Consolas"/>
        <family val="3"/>
      </rPr>
      <t>AATG</t>
    </r>
    <r>
      <rPr>
        <sz val="11"/>
        <color theme="1"/>
        <rFont val="Consolas"/>
        <family val="3"/>
      </rPr>
      <t>GAGAACCGTGAGCCA</t>
    </r>
  </si>
  <si>
    <r>
      <t>cgatCGTCTCactcg</t>
    </r>
    <r>
      <rPr>
        <b/>
        <sz val="11"/>
        <color theme="1"/>
        <rFont val="Consolas"/>
        <family val="3"/>
      </rPr>
      <t>AATG</t>
    </r>
    <r>
      <rPr>
        <sz val="11"/>
        <color theme="1"/>
        <rFont val="Consolas"/>
        <family val="3"/>
      </rPr>
      <t>aagattctggtcattggt</t>
    </r>
  </si>
  <si>
    <r>
      <t>cgatCGTCTCactcg</t>
    </r>
    <r>
      <rPr>
        <b/>
        <sz val="11"/>
        <color theme="1"/>
        <rFont val="Consolas"/>
        <family val="3"/>
      </rPr>
      <t>AATG</t>
    </r>
    <r>
      <rPr>
        <sz val="11"/>
        <color theme="1"/>
        <rFont val="Consolas"/>
        <family val="3"/>
      </rPr>
      <t>aaacgtgcgattatcg</t>
    </r>
  </si>
  <si>
    <r>
      <t>gataCGTCTCa</t>
    </r>
    <r>
      <rPr>
        <b/>
        <sz val="11"/>
        <color theme="1"/>
        <rFont val="Consolas"/>
        <family val="3"/>
      </rPr>
      <t>AGAG</t>
    </r>
    <r>
      <rPr>
        <sz val="11"/>
        <color theme="1"/>
        <rFont val="Consolas"/>
        <family val="3"/>
      </rPr>
      <t>acctaaGCGGCCGCaccaataaaaaacgcccg</t>
    </r>
  </si>
  <si>
    <r>
      <t>gataCGTCTCa</t>
    </r>
    <r>
      <rPr>
        <b/>
        <sz val="11"/>
        <color theme="1"/>
        <rFont val="Consolas"/>
        <family val="3"/>
      </rPr>
      <t>CGAG</t>
    </r>
    <r>
      <rPr>
        <sz val="11"/>
        <color theme="1"/>
        <rFont val="Consolas"/>
        <family val="3"/>
      </rPr>
      <t>accGCGGCCGCatgtgagcaaaaggccag</t>
    </r>
  </si>
  <si>
    <r>
      <t>gcatCGTCTCactct</t>
    </r>
    <r>
      <rPr>
        <b/>
        <sz val="11"/>
        <color theme="1"/>
        <rFont val="Consolas"/>
        <family val="3"/>
      </rPr>
      <t>GCCA</t>
    </r>
    <r>
      <rPr>
        <sz val="11"/>
        <color theme="1"/>
        <rFont val="Consolas"/>
        <family val="3"/>
      </rPr>
      <t>ttaCGCGGCGATACGCTGCA</t>
    </r>
  </si>
  <si>
    <r>
      <t>gcatCGTCTCactct</t>
    </r>
    <r>
      <rPr>
        <b/>
        <sz val="11"/>
        <color theme="1"/>
        <rFont val="Consolas"/>
        <family val="3"/>
      </rPr>
      <t>GCCA</t>
    </r>
    <r>
      <rPr>
        <sz val="11"/>
        <color theme="1"/>
        <rFont val="Consolas"/>
        <family val="3"/>
      </rPr>
      <t>ttaGCGCTTGGCCGCGAAAACC</t>
    </r>
  </si>
  <si>
    <r>
      <t>gcatCGTCTCactct</t>
    </r>
    <r>
      <rPr>
        <b/>
        <sz val="11"/>
        <color theme="1"/>
        <rFont val="Consolas"/>
        <family val="3"/>
      </rPr>
      <t>GCCA</t>
    </r>
    <r>
      <rPr>
        <sz val="11"/>
        <color theme="1"/>
        <rFont val="Consolas"/>
        <family val="3"/>
      </rPr>
      <t>ttagcgctgcaaagcataacg</t>
    </r>
  </si>
  <si>
    <r>
      <t>gcatCGTCTCactct</t>
    </r>
    <r>
      <rPr>
        <b/>
        <sz val="11"/>
        <color theme="1"/>
        <rFont val="Consolas"/>
        <family val="3"/>
      </rPr>
      <t>GCCA</t>
    </r>
    <r>
      <rPr>
        <sz val="11"/>
        <color theme="1"/>
        <rFont val="Consolas"/>
        <family val="3"/>
      </rPr>
      <t>ttaattcacgcgaccaatcttg</t>
    </r>
  </si>
  <si>
    <r>
      <t>gcatCGTCTCactct</t>
    </r>
    <r>
      <rPr>
        <b/>
        <sz val="11"/>
        <color theme="1"/>
        <rFont val="Consolas"/>
        <family val="3"/>
      </rPr>
      <t>GCCA</t>
    </r>
    <r>
      <rPr>
        <sz val="11"/>
        <color theme="1"/>
        <rFont val="Consolas"/>
        <family val="3"/>
      </rPr>
      <t>ttaGGCCTCGCGGCTCAGTTTG</t>
    </r>
  </si>
  <si>
    <t>atgcCGTCTCactctCCGTttcatcatcagtaacccgt</t>
  </si>
  <si>
    <t>(9) ColE1_pET P2</t>
  </si>
  <si>
    <t>ORF</t>
  </si>
  <si>
    <t>ORF 1</t>
  </si>
  <si>
    <t>ORF 2</t>
  </si>
  <si>
    <t>ORF 3</t>
  </si>
  <si>
    <r>
      <t>GGT</t>
    </r>
    <r>
      <rPr>
        <u/>
        <sz val="11"/>
        <color theme="1"/>
        <rFont val="Calibri"/>
        <family val="2"/>
        <scheme val="minor"/>
      </rPr>
      <t>CTCg</t>
    </r>
  </si>
  <si>
    <r>
      <rPr>
        <u/>
        <sz val="11"/>
        <color theme="1"/>
        <rFont val="Calibri"/>
        <family val="2"/>
        <scheme val="minor"/>
      </rPr>
      <t>tGAG</t>
    </r>
    <r>
      <rPr>
        <sz val="11"/>
        <color theme="1"/>
        <rFont val="Calibri"/>
        <family val="2"/>
        <scheme val="minor"/>
      </rPr>
      <t>ACC</t>
    </r>
  </si>
  <si>
    <t>flanking NotI</t>
  </si>
  <si>
    <t>Stop</t>
  </si>
  <si>
    <t>(no start codon)</t>
  </si>
  <si>
    <r>
      <t>(</t>
    </r>
    <r>
      <rPr>
        <b/>
        <sz val="11"/>
        <color theme="1"/>
        <rFont val="Calibri"/>
        <family val="2"/>
        <scheme val="minor"/>
      </rPr>
      <t>stop</t>
    </r>
    <r>
      <rPr>
        <sz val="11"/>
        <color theme="1"/>
        <rFont val="Calibri"/>
        <family val="2"/>
        <scheme val="minor"/>
      </rPr>
      <t xml:space="preserve"> codon)</t>
    </r>
  </si>
  <si>
    <r>
      <rPr>
        <b/>
        <sz val="11"/>
        <color rgb="FFFF0000"/>
        <rFont val="Calibri"/>
        <family val="2"/>
        <scheme val="minor"/>
      </rPr>
      <t>NN</t>
    </r>
    <r>
      <rPr>
        <sz val="11"/>
        <color theme="1"/>
        <rFont val="Calibri"/>
        <family val="2"/>
        <scheme val="minor"/>
      </rPr>
      <t xml:space="preserve"> (</t>
    </r>
    <r>
      <rPr>
        <b/>
        <sz val="11"/>
        <color rgb="FFFF0000"/>
        <rFont val="Calibri"/>
        <family val="2"/>
        <scheme val="minor"/>
      </rPr>
      <t>GG</t>
    </r>
    <r>
      <rPr>
        <sz val="11"/>
        <color theme="1"/>
        <rFont val="Calibri"/>
        <family val="2"/>
        <scheme val="minor"/>
      </rPr>
      <t xml:space="preserve"> for </t>
    </r>
    <r>
      <rPr>
        <u/>
        <sz val="11"/>
        <color theme="1"/>
        <rFont val="Calibri"/>
        <family val="2"/>
        <scheme val="minor"/>
      </rPr>
      <t>Gly</t>
    </r>
    <r>
      <rPr>
        <sz val="11"/>
        <color theme="1"/>
        <rFont val="Calibri"/>
        <family val="2"/>
        <scheme val="minor"/>
      </rPr>
      <t>Ser)</t>
    </r>
  </si>
  <si>
    <t xml:space="preserve">   2a</t>
  </si>
  <si>
    <t xml:space="preserve">   2b</t>
  </si>
  <si>
    <t xml:space="preserve">   3a</t>
  </si>
  <si>
    <t xml:space="preserve">   3b</t>
  </si>
  <si>
    <t xml:space="preserve">   4a</t>
  </si>
  <si>
    <t xml:space="preserve">   4b</t>
  </si>
  <si>
    <t xml:space="preserve">   4c</t>
  </si>
  <si>
    <t xml:space="preserve">   9a</t>
  </si>
  <si>
    <t xml:space="preserve">   9b</t>
  </si>
  <si>
    <t xml:space="preserve">   9c</t>
  </si>
  <si>
    <t>ORF Domain 1</t>
  </si>
  <si>
    <t>ORF Domain 2</t>
  </si>
  <si>
    <t>ORF Domain 3</t>
  </si>
  <si>
    <t>ConR/ConR'</t>
  </si>
  <si>
    <t>CCGT</t>
  </si>
  <si>
    <t>GAAG</t>
  </si>
  <si>
    <t>GTCG</t>
  </si>
  <si>
    <t>CATT</t>
  </si>
  <si>
    <t>GGAA</t>
  </si>
  <si>
    <t>AGAT</t>
  </si>
  <si>
    <t>CAGC</t>
  </si>
  <si>
    <t>TGTA</t>
  </si>
  <si>
    <t>ACTC</t>
  </si>
  <si>
    <t>TTGG</t>
  </si>
  <si>
    <t>TATC</t>
  </si>
  <si>
    <t>(4ab) P1 Ec.xylR</t>
  </si>
  <si>
    <t>(4ab) P2 Ec.xylR</t>
  </si>
  <si>
    <t>(4ab) P1 λ.tetR</t>
  </si>
  <si>
    <t>(4ab) P2 λ.tetR</t>
  </si>
  <si>
    <t>(4ab) P1 Ec.lacI</t>
  </si>
  <si>
    <t>(4ab) P2 Ec.lacI</t>
  </si>
  <si>
    <t>(4ab) P3 Ec.lacI</t>
  </si>
  <si>
    <t>(4ab) P4 Ec.lacI</t>
  </si>
  <si>
    <t>(4ab) P1 Ec.araC</t>
  </si>
  <si>
    <t>(4ab) P2 Ec.araC</t>
  </si>
  <si>
    <t>atgcCGTCTCactctAGATccGGACCCACTTTCACATTTAA</t>
  </si>
  <si>
    <t>atgcCGTCTCactctAGATccTGACAACTTGACGGCTACA</t>
  </si>
  <si>
    <t>(4c) ssrA.LAA O1</t>
  </si>
  <si>
    <t>(4c) ssrA.LAA O2</t>
  </si>
  <si>
    <t>(2-5) P1 spacer</t>
  </si>
  <si>
    <t>(2-5) P2 spacer</t>
  </si>
  <si>
    <t>gcatCGTCTCactcgCTTCTTAACTTGCTTCCTAGTGAAACCG</t>
  </si>
  <si>
    <t>atgcCGTCTCactctAGATccACCGGCACGGAACTCG</t>
  </si>
  <si>
    <t>(4ab) P2 Ec.araCΔC13</t>
  </si>
  <si>
    <t>(7) P1 ChlR.r</t>
  </si>
  <si>
    <t>(7) P2 ChlR.r</t>
  </si>
  <si>
    <t>(7) P1 AmpR.r</t>
  </si>
  <si>
    <t>(7) P2 AmpR.r</t>
  </si>
  <si>
    <t>(7) P1 KanR.r</t>
  </si>
  <si>
    <t>(7) P2 KanR.r</t>
  </si>
  <si>
    <t>atgcCGTCTCactctACTCttgatcgggcacgtaag</t>
  </si>
  <si>
    <t>gcatCGTCTCactcgTACAaccaataaaaaacgcccg</t>
  </si>
  <si>
    <t>gcatCGTCTCactcgTACAgattatcaaaaaggatcttcacc</t>
  </si>
  <si>
    <t>atgcCGTCTCactctACTCcaggtggcacttttcg</t>
  </si>
  <si>
    <t>atgcCGTCTCactctACTCctgatccttcaactcagca</t>
  </si>
  <si>
    <t>gcatCGTCTCactcgTACAgtgttacaaccaattaaccaattc</t>
  </si>
  <si>
    <t>cgatCGTCTCactcgGAGTggtgcctaatgagtgagc</t>
  </si>
  <si>
    <t>(8) lacI P1</t>
  </si>
  <si>
    <t>(8) lacI P2</t>
  </si>
  <si>
    <t>(8) lacI P3</t>
  </si>
  <si>
    <t>(8) lacI P4</t>
  </si>
  <si>
    <t>atgcCGTCTCaCGTttcactggtgaaaagaaaaacc</t>
  </si>
  <si>
    <t>gcatCGTCTCaaACGggcaacagctgattg</t>
  </si>
  <si>
    <t>atcgCGTCTCactctTTGGttcctaatgcaggagtcg</t>
  </si>
  <si>
    <t>(78.x) spacer</t>
  </si>
  <si>
    <t>(89.x) spacer</t>
  </si>
  <si>
    <t>TACAttcagttccacaGGTACCcagaaggtgctt</t>
  </si>
  <si>
    <t>CCGTaagcaccttctgGGTACCtgtggaactgaa</t>
  </si>
  <si>
    <t>ctcgATCTgcagcgaacgacgaaaattacgcccttgcagcgtaataaTGGC</t>
  </si>
  <si>
    <t>ctctGCCAttattacgctgcaagggcgtaattttcgtcgttcgctgcAGAT</t>
  </si>
  <si>
    <t>cgatCGTCTCactcgAATGCGTAAAGGCGAAGAG</t>
  </si>
  <si>
    <t>(4ab) sfgfp P1</t>
  </si>
  <si>
    <t>(4ab) sfgfp P2</t>
  </si>
  <si>
    <t>(1-6r0) sfgfp P1</t>
  </si>
  <si>
    <t>(1-6r0) sfgfp P2</t>
  </si>
  <si>
    <t>(1-6r1) sfgfp P1</t>
  </si>
  <si>
    <t>(1-6r1) sfgfp P2</t>
  </si>
  <si>
    <t>atgcCGTCTCactctAGATccTTTGTACAGTTCATCCATACC</t>
  </si>
  <si>
    <t>gtcttttttcgttttggtccGCTG</t>
  </si>
  <si>
    <t>CTCTCAGCggaccaaaacgaaaaaagacGCTTTTCAGCGTC</t>
  </si>
  <si>
    <t>TTATTGTTcgtctttggtaccgagGCCA</t>
  </si>
  <si>
    <t>(5) L3S2P55_Str3 O1</t>
  </si>
  <si>
    <t>(5) L3S2P55_Str3 O2</t>
  </si>
  <si>
    <t>(5) L3S2P55_Str3 O3</t>
  </si>
  <si>
    <t>(5) L3S2P55_Str3 O4</t>
  </si>
  <si>
    <t>atgcCGTCTCactctGTCGaTCTCTATCACTGATAGGGATGTGCTCAG</t>
  </si>
  <si>
    <t>(5) L3S3P21_Str4 O1</t>
  </si>
  <si>
    <t>(5) L3S3P21_Str4 O2</t>
  </si>
  <si>
    <t>(5) L3S3P21_Str4 O3</t>
  </si>
  <si>
    <t>(5) L3S3P21_Str4 O4</t>
  </si>
  <si>
    <t>CTCGTGGCccaattattgaaggcc</t>
  </si>
  <si>
    <t>tccctaacggggggcctttttttgtttctggtctGccGCTG</t>
  </si>
  <si>
    <t>CTCTCAGCggCagaccagaaacaa</t>
  </si>
  <si>
    <t>aaaaaggccccccgttagggaggccttcaataattggGCCA</t>
  </si>
  <si>
    <t>CTCGTGGCctcggtaccaaagacgAACAATAAGACGCTGAAAAGC</t>
  </si>
  <si>
    <t>TTTCCCGCTCCCCTTCAATAATTGGGCCACGAG</t>
  </si>
  <si>
    <t>CTCTCAGCggCagaccagaaacaaaaaaaggggagcgg</t>
  </si>
  <si>
    <t>CTCGTGGCccaattattgaaggggagcgggaaaccgct</t>
  </si>
  <si>
    <t>cccctttttttgtttctggtctGccGCTGAGAG</t>
  </si>
  <si>
    <t>(5) L3S3P00_Str6 O1</t>
  </si>
  <si>
    <t>(5) L3S3P00_Str6 O2</t>
  </si>
  <si>
    <t>(5) L3S3P00_Str6 O3</t>
  </si>
  <si>
    <t>(5) L3S3P00_Str6 O4</t>
  </si>
  <si>
    <t>(9) pSC101 P1</t>
  </si>
  <si>
    <t>(9) pSC101ts P2</t>
  </si>
  <si>
    <t>(9) pSC101 P4</t>
  </si>
  <si>
    <t>(9) pSC101 P5</t>
  </si>
  <si>
    <t>(9) pSC101 P6</t>
  </si>
  <si>
    <t>gcatCGTCTCactctCCGTgacagtaagacgggtaagc</t>
  </si>
  <si>
    <t>C01</t>
  </si>
  <si>
    <t>C02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</si>
  <si>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</si>
  <si>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</si>
  <si>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</si>
  <si>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</si>
  <si>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</si>
  <si>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</si>
  <si>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</si>
  <si>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</si>
  <si>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</si>
  <si>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C12</t>
  </si>
  <si>
    <t>C13</t>
  </si>
  <si>
    <t>C14</t>
  </si>
  <si>
    <t>C15</t>
  </si>
  <si>
    <t>C16</t>
  </si>
  <si>
    <t>(2-5) Ptet-Mf.lon cas P1</t>
  </si>
  <si>
    <t>(2-5) Ptet-Mf.lon cas P2</t>
  </si>
  <si>
    <t>(2-5) Ptet-Mf.lon cas P3</t>
  </si>
  <si>
    <t>(2-5) Ptet-Mf.lon cas P4</t>
  </si>
  <si>
    <t>gcatCGTCTCagGACGGAGAGGTGATGTATTC</t>
  </si>
  <si>
    <t>atgcCGTCTCAtccttttcctttgagttgtg</t>
  </si>
  <si>
    <t>atgcCGTCTCaGTAGGTAGGAATCTGATGTAATG</t>
  </si>
  <si>
    <t>gcatCGTCTCAaggactaGTAATTATCATTGACTAGCCCAT</t>
  </si>
  <si>
    <t>atgcCGTCTCactcgCCAAgttacattgtcgatctgttca</t>
  </si>
  <si>
    <t>gcatCGTCTCaCTACgTAACGGACTAAGAAAAACACTAC</t>
  </si>
  <si>
    <t>atgcCGTCTCaGTCCctgaaaacccgttggtct</t>
  </si>
  <si>
    <t>gcatCGTCTCactctCAGCggagagcgttcaccgacaaac</t>
  </si>
  <si>
    <t>atgcCGTCTCactcgCTTCtccctatcagtgatagagattg</t>
  </si>
  <si>
    <t>CTCGATCTgccgcaaacaa</t>
  </si>
  <si>
    <t>aaacgaggaaaacacgaatgaggtgcctacattcatgct</t>
  </si>
  <si>
    <t>gaatgccgggcaagccaatcgtcgccgcgtataataaTGGC</t>
  </si>
  <si>
    <t>CTCTGCCAttattatacgcg</t>
  </si>
  <si>
    <t>gcgacgattggcttgcccggcattcagcatgaatgtaggcacct</t>
  </si>
  <si>
    <t>cattcgtgttttcctcgtttttgtttgcggcAGAT</t>
  </si>
  <si>
    <t>(4c) pdt#3 O1</t>
  </si>
  <si>
    <t>(4c) pdt#3 O2</t>
  </si>
  <si>
    <t>(4c) pdt#3 O3</t>
  </si>
  <si>
    <t>(4c) pdt#3 O4</t>
  </si>
  <si>
    <t>(4c) pdt#3 O5</t>
  </si>
  <si>
    <t>(4c) pdt#3 O6</t>
  </si>
  <si>
    <t>gcatCGTCTCactcgAATGAAACCAGTAACGTTATACG</t>
  </si>
  <si>
    <t>(9) RSF1030 P1</t>
  </si>
  <si>
    <t>(9) RSF1030 P2</t>
  </si>
  <si>
    <t>gcatCGTCTCactctCCGTcttccgcttcctcgctcac</t>
  </si>
  <si>
    <t>atgcCGTCTCactcgCCAAaacggaatagctgttcgtt</t>
  </si>
  <si>
    <t>(9) CloDF13 P1</t>
  </si>
  <si>
    <t>(9) CloDF13 P2</t>
  </si>
  <si>
    <t>atgcCGTCTCactcgCCAAgatcaaaggatcttcttgagatc</t>
  </si>
  <si>
    <t>gcatCGTCTCactctCCGTgcgctgcggacacatacaaag</t>
  </si>
  <si>
    <t>(4) mKate2 P2</t>
  </si>
  <si>
    <t>gcatCGTCTCactctGCCAttaacggtgacccagtttagatg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</si>
  <si>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</si>
  <si>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</si>
  <si>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</si>
  <si>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</si>
  <si>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</si>
  <si>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</si>
  <si>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</si>
  <si>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</si>
  <si>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</si>
  <si>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</si>
  <si>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</si>
  <si>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</si>
  <si>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</si>
  <si>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</si>
  <si>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</si>
  <si>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</si>
  <si>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</si>
  <si>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</si>
  <si>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</si>
  <si>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</si>
  <si>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</si>
  <si>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</si>
  <si>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</si>
  <si>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</si>
  <si>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</si>
  <si>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</si>
  <si>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</si>
  <si>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</si>
  <si>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</si>
  <si>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</si>
  <si>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</si>
  <si>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</si>
  <si>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</si>
  <si>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</si>
  <si>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</si>
  <si>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</si>
  <si>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</si>
  <si>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</si>
  <si>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</si>
  <si>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</si>
  <si>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</si>
  <si>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</si>
  <si>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</si>
  <si>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</si>
  <si>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</si>
  <si>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</si>
  <si>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</si>
  <si>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</si>
  <si>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</si>
  <si>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</si>
  <si>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</si>
  <si>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</si>
  <si>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</si>
  <si>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</si>
  <si>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</si>
  <si>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</si>
  <si>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</si>
  <si>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</si>
  <si>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</si>
  <si>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</si>
  <si>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</si>
  <si>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</si>
  <si>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</si>
  <si>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</si>
  <si>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</si>
  <si>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(9) pSC101ts P3</t>
  </si>
  <si>
    <t>(7) ChlR*.r P2</t>
  </si>
  <si>
    <t>(7) ChlR*.r P3</t>
  </si>
  <si>
    <t>(7) ChlR*.r P4</t>
  </si>
  <si>
    <t>(7) ChlR*.r P5</t>
  </si>
  <si>
    <t>(7) ChlR*.r P6</t>
  </si>
  <si>
    <t>(7) ChlR*.r P7</t>
  </si>
  <si>
    <r>
      <t>cgatCGTCTCa</t>
    </r>
    <r>
      <rPr>
        <b/>
        <sz val="11"/>
        <color theme="1"/>
        <rFont val="Consolas"/>
        <family val="3"/>
      </rPr>
      <t>ctcgCTTC</t>
    </r>
    <r>
      <rPr>
        <sz val="11"/>
        <color theme="1"/>
        <rFont val="Consolas"/>
        <family val="3"/>
      </rPr>
      <t>TGTGTGGATCCCTATCAGTGATAGAGATTCA</t>
    </r>
  </si>
  <si>
    <t>(1) ConL P1</t>
  </si>
  <si>
    <t>atgcCGTCTCactctAGATccCAACATGACCTCGCTATTTACATCG</t>
  </si>
  <si>
    <t>1-6r0</t>
  </si>
  <si>
    <t>1-6r1</t>
  </si>
  <si>
    <t>atgcCGTCTCactcgACGGtGAGACC</t>
  </si>
  <si>
    <t>gcatCGTCTCactctTGTAtGAGACC</t>
  </si>
  <si>
    <t>gcatGGTCTCactctTGTAtGAGACG</t>
  </si>
  <si>
    <t>atgcGGTCTCactcgACGGtGAGACG</t>
  </si>
  <si>
    <t>atgcCGTCTCactctAGATccCTGCCCGCTTTCCAGTCG</t>
  </si>
  <si>
    <t>(7) ChlR.r P1</t>
  </si>
  <si>
    <t>ConL9</t>
  </si>
  <si>
    <t>ConL10</t>
  </si>
  <si>
    <t>ConL11</t>
  </si>
  <si>
    <t>ConR9</t>
  </si>
  <si>
    <t>ConR10</t>
  </si>
  <si>
    <t>ConR11</t>
  </si>
  <si>
    <t>(cas) left</t>
  </si>
  <si>
    <t>(cas) right</t>
  </si>
  <si>
    <t>OpConL9</t>
  </si>
  <si>
    <t>OpConL10</t>
  </si>
  <si>
    <t>OpConL11</t>
  </si>
  <si>
    <t>OpConR9</t>
  </si>
  <si>
    <t>OpConR10</t>
  </si>
  <si>
    <t>OpConR11</t>
  </si>
  <si>
    <t>(6) ConR P2</t>
  </si>
  <si>
    <t>(9) ColE1_pET P4</t>
  </si>
  <si>
    <t>(9) ColE1_pET P3</t>
  </si>
  <si>
    <t>cggcctttttacggttcctggc</t>
  </si>
  <si>
    <t>gttcagaacgctcggttgccg</t>
  </si>
  <si>
    <t>pUC seq F (insert F)</t>
  </si>
  <si>
    <t>BsaI ChlR:: pcr1AMF351, pcr2AMF351, pYTK001</t>
  </si>
  <si>
    <t>ConL'S</t>
  </si>
  <si>
    <t>ConL'1</t>
  </si>
  <si>
    <t>ConR'1</t>
  </si>
  <si>
    <t>ConR'E</t>
  </si>
  <si>
    <t>ConL'2</t>
  </si>
  <si>
    <t>ConR'2</t>
  </si>
  <si>
    <t>GTCTGACCGTGCAATATGCG</t>
  </si>
  <si>
    <t>CAAAAACGCCTGACGAATGG</t>
  </si>
  <si>
    <t>vioB seq MF</t>
  </si>
  <si>
    <t>vioB seq MR</t>
  </si>
  <si>
    <t>AATCGAACAGGAACTGAACC</t>
  </si>
  <si>
    <t>Mf.lon seq MF</t>
  </si>
  <si>
    <t>CTCGCTTCctgacagctagctcagtcctaggtataatgctagctactCGAC</t>
  </si>
  <si>
    <t>CTCTGTCGagtagctagcattatacctaggactgagctagctgtcagGAAG</t>
  </si>
  <si>
    <t>(2) pCon51 o1</t>
  </si>
  <si>
    <t>(2) pCon51 o2</t>
  </si>
  <si>
    <t>CCGGTTTGTCAGAAAGAGC</t>
  </si>
  <si>
    <t>Mf.lon seq MR</t>
  </si>
  <si>
    <t>(1) ConL P2</t>
  </si>
  <si>
    <r>
      <t>atgcCGTCTCa</t>
    </r>
    <r>
      <rPr>
        <b/>
        <sz val="11"/>
        <color theme="1"/>
        <rFont val="Consolas"/>
        <family val="3"/>
      </rPr>
      <t>ctctGTCG</t>
    </r>
    <r>
      <rPr>
        <sz val="11"/>
        <color theme="1"/>
        <rFont val="Consolas"/>
        <family val="3"/>
      </rPr>
      <t>tctgtgtgaaattgttatccgctcacaattg</t>
    </r>
  </si>
  <si>
    <r>
      <t>gcatCGTCTCa</t>
    </r>
    <r>
      <rPr>
        <b/>
        <sz val="11"/>
        <color theme="1"/>
        <rFont val="Consolas"/>
        <family val="3"/>
      </rPr>
      <t>ctcgCTTC</t>
    </r>
    <r>
      <rPr>
        <sz val="11"/>
        <color theme="1"/>
        <rFont val="Consolas"/>
        <family val="3"/>
      </rPr>
      <t>acgtctgtgtggaattgtg</t>
    </r>
  </si>
  <si>
    <t>CTCT</t>
  </si>
  <si>
    <t>taCGTCTCgaactatgccaagttctcaagc</t>
  </si>
  <si>
    <t>atCGTCTCcagtttgtccactggaaaatctc</t>
  </si>
  <si>
    <t>(9) pSC101 mut P2</t>
  </si>
  <si>
    <t>(9) pSC101 mut P3</t>
  </si>
  <si>
    <t>(2-5) Mf.lon mut P2</t>
  </si>
  <si>
    <t>(2-5) Mf.lon mut P3</t>
  </si>
  <si>
    <t>gctaCGTCTCaAGCAGACGGACCGTCTTTCGGAAC</t>
  </si>
  <si>
    <t>atcgaCGTCTCaTGCTGGTATCACCATCAC</t>
  </si>
  <si>
    <t>(7) SpcR.r 2 P1</t>
  </si>
  <si>
    <t>(7) SpcR.r 2 P2</t>
  </si>
  <si>
    <t>atgcCGTCTCactcgTACAttatttgccgactaccttgg</t>
  </si>
  <si>
    <t>gcatCGTCTCactctACTCccagccaggacagaaatgc</t>
  </si>
  <si>
    <t>(7) ChlR P2</t>
  </si>
  <si>
    <t>(7) ChlR P3</t>
  </si>
  <si>
    <t>cgatCGTCTCaTTACgccccgccctgcc</t>
  </si>
  <si>
    <t>atcgCGTCTCaGTAAtactccatctggatttgttc</t>
  </si>
  <si>
    <t>(34) Mf.lon P1</t>
  </si>
  <si>
    <t>(34) Mf.lon P2</t>
  </si>
  <si>
    <t>56°</t>
  </si>
  <si>
    <t>atgcCGTCTCactcgCGACgaattcattaaagaggagaaag</t>
  </si>
  <si>
    <t>gcatCGTCTCactctGCCAttattattttgttttaaaaactattgca</t>
  </si>
  <si>
    <t>(6) left</t>
  </si>
  <si>
    <t>(6) right</t>
  </si>
  <si>
    <t>ConL'3</t>
  </si>
  <si>
    <t>ConL'4</t>
  </si>
  <si>
    <t>ConL'5</t>
  </si>
  <si>
    <t>ConL'6</t>
  </si>
  <si>
    <t>ConL'7</t>
  </si>
  <si>
    <t>ConL'8</t>
  </si>
  <si>
    <t>ConL'9</t>
  </si>
  <si>
    <t>ConL'10</t>
  </si>
  <si>
    <t>ConL'11</t>
  </si>
  <si>
    <t>Scar</t>
  </si>
  <si>
    <t>Core</t>
  </si>
  <si>
    <t>EcoRI, NotI, XbaI, (BsmBI)</t>
  </si>
  <si>
    <t>EcoRI, NotI, XbaI, (BsaI)</t>
  </si>
  <si>
    <t>ConR'3</t>
  </si>
  <si>
    <t>ConR'4</t>
  </si>
  <si>
    <t>ConR'5</t>
  </si>
  <si>
    <t>ConR'6</t>
  </si>
  <si>
    <t>ConR'7</t>
  </si>
  <si>
    <t>ConR'8</t>
  </si>
  <si>
    <t>ConR'9</t>
  </si>
  <si>
    <t>ConR'10</t>
  </si>
  <si>
    <t>ConR'11</t>
  </si>
  <si>
    <t>EcoRV</t>
  </si>
  <si>
    <t>BsiWI</t>
  </si>
  <si>
    <t>SphI, AscI</t>
  </si>
  <si>
    <t>(BsaI), SbfI, SpeI, NotI, PstI</t>
  </si>
  <si>
    <t>XhoI, AscI, SbfI</t>
  </si>
  <si>
    <t>HindIII, AscI, SbfI</t>
  </si>
  <si>
    <t>NcoI</t>
  </si>
  <si>
    <t>NsiI, AscI, SbfI</t>
  </si>
  <si>
    <t>NdeI</t>
  </si>
  <si>
    <t>ClaI, AscI, SbfI</t>
  </si>
  <si>
    <t>BamHI, SbfI</t>
  </si>
  <si>
    <t>SacI, SbfI</t>
  </si>
  <si>
    <t>NheI, SbfI</t>
  </si>
  <si>
    <t>SalI, SbfI</t>
  </si>
  <si>
    <t>PvuI, SbfI</t>
  </si>
  <si>
    <t>BsrGI, SbfI</t>
  </si>
  <si>
    <t>MluI, SbfI</t>
  </si>
  <si>
    <t>XmaI, SbfI</t>
  </si>
  <si>
    <t>NruI, SbfI</t>
  </si>
  <si>
    <t>MfeI, SbfI</t>
  </si>
  <si>
    <t>AvrII, SbfI</t>
  </si>
  <si>
    <t>AatII, SbfI</t>
  </si>
  <si>
    <t>(6) ConR P1</t>
  </si>
  <si>
    <t>72°</t>
  </si>
  <si>
    <t>62°</t>
  </si>
  <si>
    <t>(1.1) ConL' P2</t>
  </si>
  <si>
    <t>(6) ConR' P1</t>
  </si>
  <si>
    <t>atcgGGTCTCgGACGtactagtagcggccgctgcagt</t>
  </si>
  <si>
    <t>atgcGGTCTCgctcgACGGaaaaaaaaaccccg</t>
  </si>
  <si>
    <t>gcatGGTCTCgGACGctctagaagcggccgcga</t>
  </si>
  <si>
    <t>gcatGGTCTCgGACCctctagaagcggccgcga</t>
  </si>
  <si>
    <t>cgatGGTCTCgctctTGTAgacgaacaataaggggagcgg</t>
  </si>
  <si>
    <t>atcgGGTCTCgGACCtgcaggtactagtagcggccgctgcagt</t>
  </si>
  <si>
    <t>(BsmBI), SbfI, SpeI, NotI, PstI</t>
  </si>
  <si>
    <t>PsiI, AscI, SbfI</t>
  </si>
  <si>
    <t>BspHI</t>
  </si>
  <si>
    <t>SnaBI, AscI, SbfI</t>
  </si>
  <si>
    <t>BstEII</t>
  </si>
  <si>
    <t>BstZ17I, AscI, SbfI</t>
  </si>
  <si>
    <t>Verify &amp; Normalize</t>
  </si>
  <si>
    <t>(1) ConL1 o1</t>
  </si>
  <si>
    <t>CGTCTCaGTCTgagctccctgcaggCTTC</t>
  </si>
  <si>
    <t>(6) ConR1 o1</t>
  </si>
  <si>
    <t>CTCGGCTGGTCTtGA</t>
  </si>
  <si>
    <t>(12) OpConL1 o2</t>
  </si>
  <si>
    <t>(1) ConL1 o2</t>
  </si>
  <si>
    <t>(12) OpConL1 o1</t>
  </si>
  <si>
    <t>(56) OpConR1 o1</t>
  </si>
  <si>
    <t>(6) ConR1 o2</t>
  </si>
  <si>
    <t>(56) OpConR1 o2</t>
  </si>
  <si>
    <t>CGTCTCaGTCTCGAC</t>
  </si>
  <si>
    <t>CTCGTGGCGTCTtGA</t>
  </si>
  <si>
    <t>CGTCTCaAGACGCCA</t>
  </si>
  <si>
    <t>CTCTGTCGAGACtGA</t>
  </si>
  <si>
    <t>CGTCTCaAGACCAGC</t>
  </si>
  <si>
    <t>(1-1) ConL1 o1</t>
  </si>
  <si>
    <t>(6-1) ConR1 o1</t>
  </si>
  <si>
    <t>GGTCTCaGTCTaagcttggcgcgcctgcaggCTTC</t>
  </si>
  <si>
    <t>CTCGGCTGgatatcGTCTtGA</t>
  </si>
  <si>
    <t>(1-1) ConL1 o2</t>
  </si>
  <si>
    <t>CTCTGAAGcctgcaggcgcgccaagcttAGACtGA</t>
  </si>
  <si>
    <t>GGTCTCaAGACgatatcCAGC</t>
  </si>
  <si>
    <t>(6-1) ConR1 o2</t>
  </si>
  <si>
    <t>CTCTGAAGcctgcagggagctcAGACtGA</t>
  </si>
  <si>
    <t>GTCT</t>
  </si>
  <si>
    <t>atgcCGTCTCactcgCTTCaattgtgagcggataacaattgaca</t>
  </si>
  <si>
    <t>(2) PL-lacO1 P1</t>
  </si>
  <si>
    <t>(5-1p) ChlR ConX vector P1</t>
  </si>
  <si>
    <t>(5-1p) pUC ConX vector P2</t>
  </si>
  <si>
    <t>(2) glpTp P2</t>
  </si>
  <si>
    <t>(2) glpTp P1</t>
  </si>
  <si>
    <t>atgcCGTCTCactcgCTTCgaaagtgaaacgtgatttcatgc</t>
  </si>
  <si>
    <t>gcatCGTCTCactctGTCGgaacctgccgtttcttg</t>
  </si>
  <si>
    <t>(5) rrfBt1 P2</t>
  </si>
  <si>
    <t>gcatCGTCTCactctCAGCgagagcgttcaccgacaaac</t>
  </si>
  <si>
    <t>Cassette Overhangs</t>
  </si>
  <si>
    <t>Part Overhangs</t>
  </si>
  <si>
    <t>Connector Endonuclease Sites</t>
  </si>
  <si>
    <t>Connector Part Overhangs</t>
  </si>
  <si>
    <t>(2) gntKp P2</t>
  </si>
  <si>
    <t>(2) gntKp P1</t>
  </si>
  <si>
    <t>atgcCGTCTCactcgCTTCaatctgtgacaccgaaaatg</t>
  </si>
  <si>
    <t>gcatCGTCTCactctGTCGaatacaagaattaaaaatgttacgg</t>
  </si>
  <si>
    <t>gcatCGTCTCactctGTCGtgtgctcagtatcttgttatc</t>
  </si>
  <si>
    <t>(2) PL-lacO1 P2</t>
  </si>
  <si>
    <t>p15A seq F (insert F)</t>
  </si>
  <si>
    <t>cat.t seq F (insert R)</t>
  </si>
  <si>
    <t>bla.t seq F (insert R)</t>
  </si>
  <si>
    <t>cttcactgacaccctcatcag</t>
  </si>
  <si>
    <t>tggtaactgtcagaccaagtttactc</t>
  </si>
  <si>
    <t>OpConL</t>
  </si>
  <si>
    <t>EcoRI, NotI, XbaI, SbfI?, AscI?, unique cut site</t>
  </si>
  <si>
    <t>EcoRI, NotI, XbaI</t>
  </si>
  <si>
    <t>OpConR</t>
  </si>
  <si>
    <t>atgcCGTCTCa</t>
  </si>
  <si>
    <t>GCAGTTTCATTTGATGCTCGATGAG</t>
  </si>
  <si>
    <t>aphA1t seq F (insert R)</t>
  </si>
  <si>
    <r>
      <t>···NNN</t>
    </r>
    <r>
      <rPr>
        <sz val="11"/>
        <color rgb="FF00B050"/>
        <rFont val="Calibri"/>
        <family val="2"/>
        <scheme val="minor"/>
      </rPr>
      <t>[BsmBI/BsaI&gt;]</t>
    </r>
    <r>
      <rPr>
        <sz val="11"/>
        <color theme="1"/>
        <rFont val="Calibri"/>
        <family val="2"/>
        <scheme val="minor"/>
      </rPr>
      <t>NNN···</t>
    </r>
  </si>
  <si>
    <r>
      <t>···NNN</t>
    </r>
    <r>
      <rPr>
        <sz val="11"/>
        <color rgb="FF00B050"/>
        <rFont val="Calibri"/>
        <family val="2"/>
        <scheme val="minor"/>
      </rPr>
      <t>[BsmBI/BsaI&gt;</t>
    </r>
  </si>
  <si>
    <r>
      <rPr>
        <sz val="11"/>
        <color theme="1"/>
        <rFont val="Calibri"/>
        <family val="2"/>
        <scheme val="minor"/>
      </rPr>
      <t>A</t>
    </r>
    <r>
      <rPr>
        <sz val="11"/>
        <color rgb="FFFF0000"/>
        <rFont val="Calibri"/>
        <family val="2"/>
        <scheme val="minor"/>
      </rPr>
      <t>ATG</t>
    </r>
  </si>
  <si>
    <r>
      <rPr>
        <sz val="11"/>
        <color rgb="FF00B050"/>
        <rFont val="Calibri"/>
        <family val="2"/>
        <scheme val="minor"/>
      </rPr>
      <t>&lt;BsmBI/BsaI]</t>
    </r>
    <r>
      <rPr>
        <sz val="11"/>
        <color theme="1"/>
        <rFont val="Calibri"/>
        <family val="2"/>
        <scheme val="minor"/>
      </rPr>
      <t>NNN···</t>
    </r>
  </si>
  <si>
    <r>
      <t>···NNN</t>
    </r>
    <r>
      <rPr>
        <sz val="11"/>
        <color rgb="FF00B050"/>
        <rFont val="Calibri"/>
        <family val="2"/>
        <scheme val="minor"/>
      </rPr>
      <t>[&lt;BsmBI/BsaI]</t>
    </r>
    <r>
      <rPr>
        <sz val="11"/>
        <color theme="1"/>
        <rFont val="Calibri"/>
        <family val="2"/>
        <scheme val="minor"/>
      </rPr>
      <t>NNN···</t>
    </r>
  </si>
  <si>
    <r>
      <rPr>
        <sz val="1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GAGACC</t>
    </r>
  </si>
  <si>
    <t>atgcCGTCTCactcgAATGaacttactgtcacccatcct</t>
  </si>
  <si>
    <t>gcatCGTCTCactctGCCAttattaaacggtcagagtgcctttttc</t>
  </si>
  <si>
    <t>(4) chrB</t>
  </si>
  <si>
    <r>
      <t>atgc</t>
    </r>
    <r>
      <rPr>
        <b/>
        <sz val="11"/>
        <color theme="1"/>
        <rFont val="Consolas"/>
        <family val="3"/>
      </rPr>
      <t>CGTCTC</t>
    </r>
    <r>
      <rPr>
        <sz val="11"/>
        <color theme="1"/>
        <rFont val="Consolas"/>
        <family val="3"/>
      </rPr>
      <t>a</t>
    </r>
    <r>
      <rPr>
        <b/>
        <sz val="11"/>
        <color theme="1"/>
        <rFont val="Consolas"/>
        <family val="3"/>
      </rPr>
      <t>ctcgACGG</t>
    </r>
    <r>
      <rPr>
        <sz val="11"/>
        <color theme="1"/>
        <rFont val="Consolas"/>
        <family val="3"/>
      </rPr>
      <t>t</t>
    </r>
    <r>
      <rPr>
        <b/>
        <sz val="11"/>
        <color theme="1"/>
        <rFont val="Consolas"/>
        <family val="3"/>
      </rPr>
      <t>GAGACC</t>
    </r>
    <r>
      <rPr>
        <sz val="11"/>
        <color theme="1"/>
        <rFont val="Consolas"/>
        <family val="3"/>
      </rPr>
      <t>atacatcgcGAAAGTGAAACGTGATTTCATG</t>
    </r>
  </si>
  <si>
    <r>
      <t>gcat</t>
    </r>
    <r>
      <rPr>
        <b/>
        <sz val="11"/>
        <color theme="1"/>
        <rFont val="Consolas"/>
        <family val="3"/>
      </rPr>
      <t>CGTCTC</t>
    </r>
    <r>
      <rPr>
        <sz val="11"/>
        <color theme="1"/>
        <rFont val="Consolas"/>
        <family val="3"/>
      </rPr>
      <t>a</t>
    </r>
    <r>
      <rPr>
        <b/>
        <sz val="11"/>
        <color theme="1"/>
        <rFont val="Consolas"/>
        <family val="3"/>
      </rPr>
      <t>ctctTGTA</t>
    </r>
    <r>
      <rPr>
        <sz val="11"/>
        <color theme="1"/>
        <rFont val="Consolas"/>
        <family val="3"/>
      </rPr>
      <t>t</t>
    </r>
    <r>
      <rPr>
        <b/>
        <sz val="11"/>
        <color theme="1"/>
        <rFont val="Consolas"/>
        <family val="3"/>
      </rPr>
      <t>GAGACC</t>
    </r>
    <r>
      <rPr>
        <sz val="11"/>
        <color theme="1"/>
        <rFont val="Consolas"/>
        <family val="3"/>
      </rPr>
      <t>TATCATCGCGA</t>
    </r>
  </si>
  <si>
    <r>
      <t>cgat</t>
    </r>
    <r>
      <rPr>
        <b/>
        <sz val="11"/>
        <color theme="1"/>
        <rFont val="Consolas"/>
        <family val="3"/>
      </rPr>
      <t>GGTCTC</t>
    </r>
    <r>
      <rPr>
        <sz val="11"/>
        <color theme="1"/>
        <rFont val="Consolas"/>
        <family val="3"/>
      </rPr>
      <t>a</t>
    </r>
    <r>
      <rPr>
        <b/>
        <sz val="11"/>
        <color theme="1"/>
        <rFont val="Consolas"/>
        <family val="3"/>
      </rPr>
      <t>ctcgACGG</t>
    </r>
    <r>
      <rPr>
        <sz val="11"/>
        <color theme="1"/>
        <rFont val="Consolas"/>
        <family val="3"/>
      </rPr>
      <t>t</t>
    </r>
    <r>
      <rPr>
        <b/>
        <sz val="11"/>
        <color theme="1"/>
        <rFont val="Consolas"/>
        <family val="3"/>
      </rPr>
      <t>GAGACG</t>
    </r>
    <r>
      <rPr>
        <sz val="11"/>
        <color theme="1"/>
        <rFont val="Consolas"/>
        <family val="3"/>
      </rPr>
      <t>atacatcgcGAAAGTGAAACGTGATTTCATG</t>
    </r>
  </si>
  <si>
    <r>
      <t>gcat</t>
    </r>
    <r>
      <rPr>
        <b/>
        <sz val="11"/>
        <color theme="1"/>
        <rFont val="Consolas"/>
        <family val="3"/>
      </rPr>
      <t>GGTCTC</t>
    </r>
    <r>
      <rPr>
        <sz val="11"/>
        <color theme="1"/>
        <rFont val="Consolas"/>
        <family val="3"/>
      </rPr>
      <t>a</t>
    </r>
    <r>
      <rPr>
        <b/>
        <sz val="11"/>
        <color theme="1"/>
        <rFont val="Consolas"/>
        <family val="3"/>
      </rPr>
      <t>ctctTGTA</t>
    </r>
    <r>
      <rPr>
        <sz val="11"/>
        <color theme="1"/>
        <rFont val="Consolas"/>
        <family val="3"/>
      </rPr>
      <t>t</t>
    </r>
    <r>
      <rPr>
        <b/>
        <sz val="11"/>
        <color theme="1"/>
        <rFont val="Consolas"/>
        <family val="3"/>
      </rPr>
      <t>GAGACG</t>
    </r>
    <r>
      <rPr>
        <sz val="11"/>
        <color theme="1"/>
        <rFont val="Consolas"/>
        <family val="3"/>
      </rPr>
      <t>TATCATCGCGA</t>
    </r>
  </si>
  <si>
    <r>
      <t>gcat</t>
    </r>
    <r>
      <rPr>
        <b/>
        <sz val="11"/>
        <color theme="1"/>
        <rFont val="Consolas"/>
        <family val="3"/>
      </rPr>
      <t>GGTCTC</t>
    </r>
    <r>
      <rPr>
        <sz val="11"/>
        <color theme="1"/>
        <rFont val="Consolas"/>
        <family val="3"/>
      </rPr>
      <t>actct</t>
    </r>
    <r>
      <rPr>
        <b/>
        <sz val="11"/>
        <color theme="1"/>
        <rFont val="Consolas"/>
        <family val="3"/>
      </rPr>
      <t>TGTA</t>
    </r>
    <r>
      <rPr>
        <sz val="11"/>
        <color theme="1"/>
        <rFont val="Consolas"/>
        <family val="3"/>
      </rPr>
      <t>t</t>
    </r>
    <r>
      <rPr>
        <b/>
        <sz val="11"/>
        <color theme="1"/>
        <rFont val="Consolas"/>
        <family val="3"/>
      </rPr>
      <t>GAGACG</t>
    </r>
    <r>
      <rPr>
        <sz val="11"/>
        <color theme="1"/>
        <rFont val="Consolas"/>
        <family val="3"/>
      </rPr>
      <t>TATCATCGCggaccaaaacgaaaaaagacg</t>
    </r>
  </si>
  <si>
    <r>
      <t>gcat</t>
    </r>
    <r>
      <rPr>
        <b/>
        <sz val="11"/>
        <color theme="1"/>
        <rFont val="Consolas"/>
        <family val="3"/>
      </rPr>
      <t>CGTCTC</t>
    </r>
    <r>
      <rPr>
        <sz val="11"/>
        <color theme="1"/>
        <rFont val="Consolas"/>
        <family val="3"/>
      </rPr>
      <t>actct</t>
    </r>
    <r>
      <rPr>
        <b/>
        <sz val="11"/>
        <color theme="1"/>
        <rFont val="Consolas"/>
        <family val="3"/>
      </rPr>
      <t>TGTA</t>
    </r>
    <r>
      <rPr>
        <sz val="11"/>
        <color theme="1"/>
        <rFont val="Consolas"/>
        <family val="3"/>
      </rPr>
      <t>t</t>
    </r>
    <r>
      <rPr>
        <b/>
        <sz val="11"/>
        <color theme="1"/>
        <rFont val="Consolas"/>
        <family val="3"/>
      </rPr>
      <t>GAGACC</t>
    </r>
    <r>
      <rPr>
        <sz val="11"/>
        <color theme="1"/>
        <rFont val="Consolas"/>
        <family val="3"/>
      </rPr>
      <t>TATCATCGCggaccaaaacgaaaaaagacg</t>
    </r>
  </si>
  <si>
    <t>Binds glpTp</t>
  </si>
  <si>
    <t>Binds rrfBt1</t>
  </si>
  <si>
    <t>(1-6r0) mCherry P2</t>
  </si>
  <si>
    <t>(1-6r1) mCherry P2</t>
  </si>
  <si>
    <t>Binds tVoigtS3</t>
  </si>
  <si>
    <t>(9) p15A.r P1</t>
  </si>
  <si>
    <t>(9) p15A.r P2</t>
  </si>
  <si>
    <r>
      <t>gcCGTCTCactcg</t>
    </r>
    <r>
      <rPr>
        <b/>
        <sz val="11"/>
        <color theme="1"/>
        <rFont val="Consolas"/>
        <family val="3"/>
      </rPr>
      <t>CCAA</t>
    </r>
    <r>
      <rPr>
        <sz val="11"/>
        <color theme="1"/>
        <rFont val="Consolas"/>
        <family val="3"/>
      </rPr>
      <t>tagcggagtgtatactggct</t>
    </r>
  </si>
  <si>
    <r>
      <t>cgCGTCTCactct</t>
    </r>
    <r>
      <rPr>
        <b/>
        <sz val="11"/>
        <color theme="1"/>
        <rFont val="Consolas"/>
        <family val="3"/>
      </rPr>
      <t>CCGT</t>
    </r>
    <r>
      <rPr>
        <sz val="11"/>
        <color theme="1"/>
        <rFont val="Consolas"/>
        <family val="3"/>
      </rPr>
      <t>ttaataagatgatcttcttgagatcg</t>
    </r>
  </si>
  <si>
    <t>gcatCGTCTCaTCATTTTATTTCCCCCGTTTC</t>
  </si>
  <si>
    <t>atgcCGTCTCacgtttctcAGACGTTTTAGCGTTTATTTCG</t>
  </si>
  <si>
    <t>gcatGGTCTCactctTGTAtGAGACGTATCATCGCatgtgagcaaaaggccagc</t>
  </si>
  <si>
    <t>gcatCGTCTCactctTGTAtGAGACCTATCATCGCatgtgagcaaaaggccagc</t>
  </si>
  <si>
    <t>(1-6r0) pUC P2</t>
  </si>
  <si>
    <t>(1-6r1) pUC P2</t>
  </si>
  <si>
    <t>atcgCGTCTCaTTGGgagagcgttcaccgacaaac</t>
  </si>
  <si>
    <t>atcgCGTCTCaTTGGggaccaaaacgaaaaaagacg</t>
  </si>
  <si>
    <t>(1-6r) mCherry-pUC P2</t>
  </si>
  <si>
    <t>(1-6r) sfgfp-pUC P2</t>
  </si>
  <si>
    <t>Binds pUC, joins to upstream fragment.</t>
  </si>
  <si>
    <t>Binds sfgfp's rrfBt1, joins to downstream fragment</t>
  </si>
  <si>
    <r>
      <rPr>
        <b/>
        <sz val="11"/>
        <color theme="1"/>
        <rFont val="Consolas"/>
        <family val="3"/>
      </rPr>
      <t>ATGA</t>
    </r>
    <r>
      <rPr>
        <sz val="11"/>
        <color theme="1"/>
        <rFont val="Consolas"/>
        <family val="3"/>
      </rPr>
      <t>taaataaaagccccctgacgaaagtcgaagggggtttttattttTTGG</t>
    </r>
  </si>
  <si>
    <r>
      <t>aacgattttcagacgttttaataaaaaatcg</t>
    </r>
    <r>
      <rPr>
        <b/>
        <sz val="11"/>
        <color theme="1"/>
        <rFont val="Consolas"/>
        <family val="3"/>
      </rPr>
      <t>ACGG</t>
    </r>
  </si>
  <si>
    <r>
      <rPr>
        <b/>
        <sz val="11"/>
        <color theme="1"/>
        <rFont val="Consolas"/>
        <family val="3"/>
      </rPr>
      <t>CTCTCCGT</t>
    </r>
    <r>
      <rPr>
        <sz val="11"/>
        <color theme="1"/>
        <rFont val="Consolas"/>
        <family val="3"/>
      </rPr>
      <t>cgattttttattaaaacgtctgaaaat</t>
    </r>
  </si>
  <si>
    <r>
      <rPr>
        <b/>
        <sz val="11"/>
        <color theme="1"/>
        <rFont val="Consolas"/>
        <family val="3"/>
      </rPr>
      <t>CTCGCCAA</t>
    </r>
    <r>
      <rPr>
        <sz val="11"/>
        <color theme="1"/>
        <rFont val="Consolas"/>
        <family val="3"/>
      </rPr>
      <t>aaaataaaaacccccttcgactttcgtcagggggcttttattta</t>
    </r>
  </si>
  <si>
    <t>Ori</t>
  </si>
  <si>
    <t>Dilution to:</t>
  </si>
  <si>
    <t>Dil. Factor</t>
  </si>
  <si>
    <t>≈[DNA], ±0.01 nM</t>
  </si>
  <si>
    <t>µL</t>
  </si>
  <si>
    <t>DNA Concentration Normalization</t>
  </si>
  <si>
    <r>
      <t>V</t>
    </r>
    <r>
      <rPr>
        <vertAlign val="subscript"/>
        <sz val="11"/>
        <color theme="1"/>
        <rFont val="Calibri"/>
        <family val="2"/>
        <scheme val="minor"/>
      </rPr>
      <t>DNA</t>
    </r>
    <r>
      <rPr>
        <sz val="11"/>
        <color theme="2" tint="-0.499984740745262"/>
        <rFont val="Calibri"/>
        <family val="2"/>
        <scheme val="minor"/>
      </rPr>
      <t xml:space="preserve"> for:</t>
    </r>
  </si>
  <si>
    <r>
      <t>V</t>
    </r>
    <r>
      <rPr>
        <vertAlign val="subscript"/>
        <sz val="11"/>
        <color theme="1"/>
        <rFont val="Calibri"/>
        <family val="2"/>
        <scheme val="minor"/>
      </rPr>
      <t>seq rxn</t>
    </r>
    <r>
      <rPr>
        <sz val="11"/>
        <color theme="1"/>
        <rFont val="Calibri"/>
        <family val="2"/>
        <scheme val="minor"/>
      </rPr>
      <t>:</t>
    </r>
  </si>
  <si>
    <r>
      <t>V</t>
    </r>
    <r>
      <rPr>
        <vertAlign val="subscript"/>
        <sz val="11"/>
        <color theme="1"/>
        <rFont val="Calibri"/>
        <family val="2"/>
        <scheme val="minor"/>
      </rPr>
      <t>DNA</t>
    </r>
  </si>
  <si>
    <r>
      <t>V</t>
    </r>
    <r>
      <rPr>
        <vertAlign val="subscript"/>
        <sz val="11"/>
        <color theme="1"/>
        <rFont val="Calibri"/>
        <family val="2"/>
        <scheme val="minor"/>
      </rPr>
      <t>diluent</t>
    </r>
  </si>
  <si>
    <r>
      <t>V</t>
    </r>
    <r>
      <rPr>
        <vertAlign val="subscript"/>
        <sz val="11"/>
        <color theme="1"/>
        <rFont val="Calibri"/>
        <family val="2"/>
        <scheme val="minor"/>
      </rPr>
      <t>H₂O</t>
    </r>
  </si>
  <si>
    <r>
      <t>V</t>
    </r>
    <r>
      <rPr>
        <vertAlign val="subscript"/>
        <sz val="11"/>
        <color theme="1"/>
        <rFont val="Calibri"/>
        <family val="2"/>
        <scheme val="minor"/>
      </rPr>
      <t>primer/rxn</t>
    </r>
    <r>
      <rPr>
        <sz val="11"/>
        <color theme="1"/>
        <rFont val="Calibri"/>
        <family val="2"/>
        <scheme val="minor"/>
      </rPr>
      <t>:</t>
    </r>
  </si>
  <si>
    <r>
      <rPr>
        <i/>
        <sz val="11"/>
        <color theme="0" tint="-0.14999847407452621"/>
        <rFont val="Times New Roman"/>
        <family val="1"/>
      </rPr>
      <t>P</t>
    </r>
    <r>
      <rPr>
        <i/>
        <vertAlign val="subscript"/>
        <sz val="11"/>
        <color theme="0" tint="-0.14996795556505021"/>
        <rFont val="Times New Roman"/>
        <family val="1"/>
      </rPr>
      <t>T7</t>
    </r>
    <r>
      <rPr>
        <i/>
        <sz val="11"/>
        <color theme="0" tint="-0.14999847407452621"/>
        <rFont val="Times New Roman"/>
        <family val="1"/>
      </rPr>
      <t>-SULT1A1*1</t>
    </r>
    <r>
      <rPr>
        <sz val="11"/>
        <color theme="0" tint="-0.14999847407452621"/>
        <rFont val="Times New Roman"/>
        <family val="1"/>
      </rPr>
      <t xml:space="preserve"> hepatic PAPS-xenobiotic sulfotransferase (</t>
    </r>
    <r>
      <rPr>
        <i/>
        <sz val="11"/>
        <color theme="0" tint="-0.14999847407452621"/>
        <rFont val="Times New Roman"/>
        <family val="1"/>
      </rPr>
      <t>H. sapiens</t>
    </r>
    <r>
      <rPr>
        <sz val="11"/>
        <color theme="0" tint="-0.14999847407452621"/>
        <rFont val="Times New Roman"/>
        <family val="1"/>
      </rPr>
      <t>)</t>
    </r>
  </si>
  <si>
    <t>D01</t>
  </si>
  <si>
    <t>cacttttgttacccgccaaacaaaacccaaaaacaacccatacccaacccaataaaacaccaaaacaagacaaataatcattgattgatggttgaaatggggtaaacttgacaaacaaacccacttaaaacccaaaacatacccaaacacacaccaaaaaaacaccataaggagttttataaatgttggtattcattgatgacggttcaacaaacatcaaactacagtggcaggaaagcgacggaacaattaaacagcacattagcccgaacagcttcaaacgcgagtgggcagtctcttttggtgataaaaaggtctttaactacacactgaacggcgaacagtattcatttgatccaatcagcccggatgctgtagtcacaaccaatatcgcatggcaatacagcgacgttaatgtcgttgcagtgcatcacgccttactgaccagtggtctgccggtaagcgaagtggatattgtttgcacacttcctctgacagagtattacgacagaaataaccaacccaatacggaaaatattgagcgtaagaaagcaaacttccggaaaaaaattacattaaatggcggggatacattcacaataaaagatgtaaaagtcatgcctgaatctataccggcaggttatgaagttctacaagaactggatgagttagattctttattaattatagatctcgggggcaccacattagatatttctcaggtaatggggaaattatcggggatcagtaaaatatacggagactcatctcttggtgtctctctggttacatctgcagtaaaagatgccctttctcttgcgagaacaaaaggaagtagctatcttgctgacgatataatcattcacagaaaagataataactatctgaagcaacgaattaatgatgagaacaaaatatcaatagtcaccgaagcaatgaatgaagcacttcgtaaacttgagcaacgtgtattaaatacgctcaatgaattttctggttatactcatgttatggttataggcggtggcgcagaattaatatgcgatgcagtaaaaaaacacacacagattcgtgatgaacgttttttcaaaaccaataactctcaatatgatttagttaacggtatgtatctcataggtaattaatgatggacaagcgcagaaccattgccttcaaactaaatccagatgtaaatcaaacagataaaattgtttgtgatacactggacagtatcccgcaaggggaacgaagccgccttaaccgggccgcactgacggcaggtctggccttatacagacaagatccccggacccctttccttttatgtgagctgctgacgaaagaaaccacattttcagatatcgtgaatatattgagatcgctatttccaaaagagatggccgattttaattcttcaatagtcactcaatcctcttcacaacaagagcaaaaaagtgatgaagagaccaaaaaaaatgcgatgaagctaataaattaattcaattattattgagttccctttatccactatcaggctggataaagggaactcaatcaagttattttcttaccagtcattacataatcgttattatgaaataatcgtttgcactgtctctgttattcaggcaatttcaataaaggcacttgctcacgctctgtcattttctgaaactcttcatgctgcatttcgatttttcttctaaaatcataacttgcatacctgttctttttatgtatatccagatctatttttgtgacgagttcaaaccacaatgatagcactccccatgcagcgttatgaaacatttccgcaacagatttagagtctgtattaaccgcttcagtcatgtagtcgctaatacgttctgcagtgattttcgttatttcatcgtaattcattttatcccctacaagactatttaatggaatgaaaaatatttggtctgataacaatgctcctgaattaacacctgcaggctatgttaaagttgccctcacacacaatctacctgttttctcgtgtgtgtcacaggcgcaatacataaatagtctggcca</t>
  </si>
  <si>
    <r>
      <t>Ab</t>
    </r>
    <r>
      <rPr>
        <b/>
        <vertAlign val="superscript"/>
        <sz val="11"/>
        <color rgb="FF0070C0"/>
        <rFont val="Times New Roman"/>
        <family val="1"/>
      </rPr>
      <t>R</t>
    </r>
  </si>
  <si>
    <t>AGGA</t>
  </si>
  <si>
    <t>TCAG</t>
  </si>
  <si>
    <t>D02</t>
  </si>
  <si>
    <t>D03</t>
  </si>
  <si>
    <t>D04</t>
  </si>
  <si>
    <t>D05</t>
  </si>
  <si>
    <t>D06</t>
  </si>
  <si>
    <t>D07</t>
  </si>
  <si>
    <t>D08</t>
  </si>
  <si>
    <t>D09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</si>
  <si>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</si>
  <si>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</si>
  <si>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</si>
  <si>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</si>
  <si>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</si>
  <si>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</si>
  <si>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</si>
  <si>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</si>
  <si>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</si>
  <si>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</si>
  <si>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</si>
  <si>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</si>
  <si>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</si>
  <si>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</si>
  <si>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</si>
  <si>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</si>
  <si>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</si>
  <si>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</si>
  <si>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</si>
  <si>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</si>
  <si>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</si>
  <si>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</si>
  <si>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</si>
  <si>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</si>
  <si>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</si>
  <si>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</si>
  <si>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</si>
  <si>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D37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</si>
  <si>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</si>
  <si>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</si>
  <si>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</si>
  <si>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</si>
  <si>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</si>
  <si>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</si>
  <si>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</si>
  <si>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</si>
  <si>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</si>
  <si>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</si>
  <si>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</si>
  <si>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</si>
  <si>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</si>
  <si>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</si>
  <si>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</si>
  <si>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</si>
  <si>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</si>
  <si>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</si>
  <si>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</si>
  <si>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</si>
  <si>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</si>
  <si>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</si>
  <si>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</si>
  <si>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D61</t>
  </si>
  <si>
    <t>D62</t>
  </si>
  <si>
    <t>D63</t>
  </si>
  <si>
    <t>D64</t>
  </si>
  <si>
    <t>D65</t>
  </si>
  <si>
    <t>(3a) RiboJ00 P1</t>
  </si>
  <si>
    <t>(3a) PlmJ P1</t>
  </si>
  <si>
    <t>(3a) SccJ P1</t>
  </si>
  <si>
    <t>(3a) LtsvJ P1</t>
  </si>
  <si>
    <t>(3a) hairpin O1</t>
  </si>
  <si>
    <t>(3a) hairpin O2</t>
  </si>
  <si>
    <t>(3a) SarJ O1</t>
  </si>
  <si>
    <t>(3a) SarJ O2</t>
  </si>
  <si>
    <t>(3a) BydvJ O1</t>
  </si>
  <si>
    <t>(3a) BydvJ O2</t>
  </si>
  <si>
    <t>atgcCGTCTCactcgCGACagctgtcaccggatgtg</t>
  </si>
  <si>
    <t>gcatCGTCTCactctCTGAttaaacaaaattatttgtagagg</t>
  </si>
  <si>
    <t>(3a) ribozyme P2</t>
  </si>
  <si>
    <t>atgcCGTCTCactcgCGACagtacgtctgagcgtgat</t>
  </si>
  <si>
    <t>atgcCGTCTCactcgCGACagtcataagtctgggctaag</t>
  </si>
  <si>
    <t>atgcCGTCTCactcgCGACagatgctgtagtgggatg</t>
  </si>
  <si>
    <t>ctcgCGACagactgtcgccggatgtgtatccgacctgacgatggcccaaaagggccgaaacagt</t>
  </si>
  <si>
    <t>GAGGactgtttcggcccttttgggccatcgtcaggtcggatacacatccggcgacagtctGTCG</t>
  </si>
  <si>
    <t>CCTCtacaaataattttgtttaaTCAG</t>
  </si>
  <si>
    <t>CTCTCTGAttaaacaaaattatttgta</t>
  </si>
  <si>
    <t>CTCGCGACagggtgtctcaaggtgcgtaccttgactgatgagtccgaaaggacgaaacacc</t>
  </si>
  <si>
    <t>GAGGggtgtttcgtcctttcggactcatcagtcaaggtacgcaccttgagacaccctGTCG</t>
  </si>
  <si>
    <t>ctctCATTtagtaTTTCTCCTCTTTcactagCTGA</t>
  </si>
  <si>
    <t>ctcgTCAGctagtgAAAGAGGAGAAAtactaAATG</t>
  </si>
  <si>
    <t>(3b) BBa_B0034 O1</t>
  </si>
  <si>
    <t>(3b) BBa_B0034 O2</t>
  </si>
  <si>
    <t>atgcCGTCTCactcgCTTCaagcgcgtctgaatagg</t>
  </si>
  <si>
    <t>gcatCGTCTCactctGTCGaattgttatccgctcacaattgtgct</t>
  </si>
  <si>
    <t>(2) PL-lacO×3 P1</t>
  </si>
  <si>
    <t>(2) PL-lacO×3 P2</t>
  </si>
  <si>
    <t>(4r) glpTp-sfgfp P1</t>
  </si>
  <si>
    <t>(4r) glpTp-sfgfp P2</t>
  </si>
  <si>
    <t>gcCGTCTCactcgAATGtGAGACCatacatcgcGAA</t>
  </si>
  <si>
    <t>atCGTCTCactctGCCAtGAGACCtatcatcgcga</t>
  </si>
  <si>
    <t>Filename</t>
  </si>
  <si>
    <t>CGACctagtgAAAGANNNGANNNacta</t>
  </si>
  <si>
    <t>TCAGctagtgAAAGANNNGANNNacta</t>
  </si>
  <si>
    <t>CATTtagtNNNTCNNNTCTTTcactag</t>
  </si>
  <si>
    <t>(3) Anderson RBS library O1</t>
  </si>
  <si>
    <t>(3b) Anderson RBS library O1</t>
  </si>
  <si>
    <t>(3/3b) Anderson RBS library O2</t>
  </si>
  <si>
    <t>gtCGTCTCactcgACGG</t>
  </si>
  <si>
    <t>gtCGTCTCactcgCTTC</t>
  </si>
  <si>
    <t>gtCGTCTCactcgCGCA</t>
  </si>
  <si>
    <t>gtCGTCTCactcgCGAC</t>
  </si>
  <si>
    <t>gtCGTCTCactcgTCAG</t>
  </si>
  <si>
    <t>gtCGTCTCactcgAATG</t>
  </si>
  <si>
    <t>gtCGTCTCactcgTTCC</t>
  </si>
  <si>
    <t>gtCGTCTCactcgATCT</t>
  </si>
  <si>
    <t>gtCGTCTCactcgTGGC</t>
  </si>
  <si>
    <t>gtCGTCTCactcgGCTG</t>
  </si>
  <si>
    <t>gtCGTCTCactcgTACA</t>
  </si>
  <si>
    <t>gtCGTCTCactcgGAGT</t>
  </si>
  <si>
    <t>gtCGTCTCactcgCCAA</t>
  </si>
  <si>
    <t>gtCGTCTCactcgGGTC</t>
  </si>
  <si>
    <t>gtCGTCTCactcgGATA</t>
  </si>
  <si>
    <t>caCGTCTCactctGAAG</t>
  </si>
  <si>
    <t>caCGTCTCactctGTCG</t>
  </si>
  <si>
    <t>caCGTCTCactctTGCG</t>
  </si>
  <si>
    <t>caCGTCTCactctCATT</t>
  </si>
  <si>
    <t>caCGTCTCactctCTGA</t>
  </si>
  <si>
    <t>caCGTCTCactctGCCA</t>
  </si>
  <si>
    <t>caCGTCTCactctAGAT</t>
  </si>
  <si>
    <t>caCGTCTCactctCAGC</t>
  </si>
  <si>
    <t>caCGTCTCactctTGTA</t>
  </si>
  <si>
    <t>caCGTCTCactctACTC</t>
  </si>
  <si>
    <t>caCGTCTCactctTTGG</t>
  </si>
  <si>
    <t>caCGTCTCactctCCGT</t>
  </si>
  <si>
    <t>caCGTCTCactctGACC</t>
  </si>
  <si>
    <t>caCGTCTCactctTATC</t>
  </si>
  <si>
    <t>caCGTCTCgtaatcggctttaccaccg</t>
  </si>
  <si>
    <t>gtCGTCTCaattattatattccccagaacatcagg</t>
  </si>
  <si>
    <t>(3r) creDt-ccdB P1</t>
  </si>
  <si>
    <t>(3r) creDt-ccdB P2</t>
  </si>
  <si>
    <t>(3r) creDt-ccdB P3</t>
  </si>
  <si>
    <t>(3r) creDt-ccdB P4</t>
  </si>
  <si>
    <t>caCGTCTCactctCATTtGAGACCttgacggctagctcagtcc</t>
  </si>
  <si>
    <t>gtCGTCTCactcgCGACtGAGACCggtaataaggttgaaaaataaaaacgg</t>
  </si>
  <si>
    <t>cas89</t>
  </si>
  <si>
    <t>cas9E</t>
  </si>
  <si>
    <t>Sequencing</t>
  </si>
  <si>
    <t>(3r) creDt-ccdB P5</t>
  </si>
  <si>
    <t>(3r) creDt-ccdB P6</t>
  </si>
  <si>
    <r>
      <t>gt</t>
    </r>
    <r>
      <rPr>
        <b/>
        <sz val="11"/>
        <color theme="1"/>
        <rFont val="Consolas"/>
        <family val="3"/>
      </rPr>
      <t>CGTCTC</t>
    </r>
    <r>
      <rPr>
        <sz val="11"/>
        <color theme="1"/>
        <rFont val="Consolas"/>
        <family val="3"/>
      </rPr>
      <t>A</t>
    </r>
    <r>
      <rPr>
        <b/>
        <sz val="11"/>
        <color theme="1"/>
        <rFont val="Consolas"/>
        <family val="3"/>
      </rPr>
      <t>AACG</t>
    </r>
    <r>
      <rPr>
        <sz val="11"/>
        <color theme="1"/>
        <rFont val="Consolas"/>
        <family val="3"/>
      </rPr>
      <t>GAcACCGGCACACT</t>
    </r>
  </si>
  <si>
    <r>
      <t>ca</t>
    </r>
    <r>
      <rPr>
        <b/>
        <sz val="11"/>
        <color theme="1"/>
        <rFont val="Consolas"/>
        <family val="3"/>
      </rPr>
      <t>CGTCTC</t>
    </r>
    <r>
      <rPr>
        <sz val="11"/>
        <color theme="1"/>
        <rFont val="Consolas"/>
        <family val="3"/>
      </rPr>
      <t>A</t>
    </r>
    <r>
      <rPr>
        <b/>
        <sz val="11"/>
        <color theme="1"/>
        <rFont val="Consolas"/>
        <family val="3"/>
      </rPr>
      <t>CGTT</t>
    </r>
    <r>
      <rPr>
        <sz val="11"/>
        <color theme="1"/>
        <rFont val="Consolas"/>
        <family val="3"/>
      </rPr>
      <t>ATCGGGGAAGAAG</t>
    </r>
  </si>
  <si>
    <t>gtCGTCTCactcgAATGgtgagtaaaggagaag</t>
  </si>
  <si>
    <t>caCGTCTCactctGCCAttatttgtatagttcatccatgc</t>
  </si>
  <si>
    <t>(4) mCherry2 P1</t>
  </si>
  <si>
    <t>(4) mCherry2 P2</t>
  </si>
  <si>
    <t>caCGTCTCactctACTCgaaaatgccggcctttgaatgggttcatgtgcagctcc</t>
  </si>
  <si>
    <t>gtCGTCTCactcgTACAttatcagccaatcgactggc</t>
  </si>
  <si>
    <t>(7) AprR P1</t>
  </si>
  <si>
    <t>(7) AprR P2</t>
  </si>
  <si>
    <t>(7) GenR P1</t>
  </si>
  <si>
    <t>(7) GenR P2</t>
  </si>
  <si>
    <t>(7) GenR P3</t>
  </si>
  <si>
    <t>(7) GenR P4</t>
  </si>
  <si>
    <t>caCGTCTCagacgtagccacctactc</t>
  </si>
  <si>
    <t>gtCGTCTCacgtcgccgaactcacgac</t>
  </si>
  <si>
    <t>caCGTCTCactctGGAA</t>
  </si>
  <si>
    <t>gtCGTCTCactcgCCAActcggggggcaggcgggc</t>
  </si>
  <si>
    <t>caCGTCTCagccgcaaacgtggtctgg</t>
  </si>
  <si>
    <t>gtCGTCTCatatcaaggcggctacagccgatag</t>
  </si>
  <si>
    <t>gtCGTCTCacggcAgctgtggccgatctagg</t>
  </si>
  <si>
    <t>(9) pBBR1-mob P1</t>
  </si>
  <si>
    <t>(9) pBBR1-mob P2</t>
  </si>
  <si>
    <t>(9) pBBR1-mob P3</t>
  </si>
  <si>
    <t>(9) pBBR1-mob P4</t>
  </si>
  <si>
    <t>(9) pBBR1-mob P5</t>
  </si>
  <si>
    <t>(9) pBBR1-mob P6</t>
  </si>
  <si>
    <t>(9) pBBR1-mob P7</t>
  </si>
  <si>
    <t>(9) pBBR1-mob P8</t>
  </si>
  <si>
    <t>(9) pBBR1-mob P9</t>
  </si>
  <si>
    <t>(9) pBBR1-mob P10</t>
  </si>
  <si>
    <t>(9) pBBR1-mob P11</t>
  </si>
  <si>
    <t>(9) pBBR1 P1</t>
  </si>
  <si>
    <t>caCGTCTCagagtctcgcgctcgcggtag</t>
  </si>
  <si>
    <t>gtCGTCTCaactcccaacgctgacgccagc</t>
  </si>
  <si>
    <t>caCGTCTCactctCCGTcccgagcctcacggc</t>
  </si>
  <si>
    <t>(9) pBBR1 P2</t>
  </si>
  <si>
    <t>caCGTCTCatcaacgcgctttgagattc</t>
  </si>
  <si>
    <t>64°</t>
  </si>
  <si>
    <t>gtCGTCTCattgaAacgccggaagccgtggc</t>
  </si>
  <si>
    <t>caCGTCTCaggctgtctcttgggcttgatcggcc</t>
  </si>
  <si>
    <t>caCGTCTCtgatacgcctatttttataggt</t>
  </si>
  <si>
    <t>gtCGTCTCaAgcccgagaccttcgggag</t>
  </si>
  <si>
    <t>(7) KanR aph-II P1</t>
  </si>
  <si>
    <t>(7) KanR aph-II P2</t>
  </si>
  <si>
    <t>gtCGTCTCactcgTACAattattagaagaactcgtcaagaagg</t>
  </si>
  <si>
    <t>caCGTCTCactctACTCttatggacagcaagcgaaccggaattgccagctggggc</t>
  </si>
  <si>
    <t>gtCGTCTCactcgTACAattattaggtggcggtacttgg</t>
  </si>
  <si>
    <t>caCGTCTCactctACTCgacgcacaccgtggaaac</t>
  </si>
  <si>
    <t>gtCGTCTCagaccgacctatcagtgatagaggatcc</t>
  </si>
  <si>
    <t>caCGTCTCaggtcGccctatagtgagtcgtattaatttatacct</t>
  </si>
  <si>
    <t>gtCGTCTCactcgGAGTgtaattaaacaaaaaacccctacccc</t>
  </si>
  <si>
    <t>66°</t>
  </si>
  <si>
    <t>caCGTCTCactctTTGGatcgatacaaaaaacccctagcc</t>
  </si>
  <si>
    <t>(7) UBER P1</t>
  </si>
  <si>
    <t>(7) UBER P2</t>
  </si>
  <si>
    <t>(7) UBER P3</t>
  </si>
  <si>
    <t>(7) UBER P4</t>
  </si>
  <si>
    <t>Avoid TNNA</t>
  </si>
  <si>
    <t>(9) RSF1010 P1</t>
  </si>
  <si>
    <t>(9) RSF1010 P2</t>
  </si>
  <si>
    <t>gtCGTCTCactcgCCAAagaaatcatccttagcgaaagc</t>
  </si>
  <si>
    <t>caCGTCTCactctCCGTatagagtggggggggtc</t>
  </si>
  <si>
    <t>caCGTCTCaagtcggccttggccct</t>
  </si>
  <si>
    <t>RSF1010 mobA.Y25F P3</t>
  </si>
  <si>
    <t>gtCGTCTCagactTcatccagcgcgaaggca</t>
  </si>
  <si>
    <t>(9) pBAC P1</t>
  </si>
  <si>
    <t>(9) pBAC P2</t>
  </si>
  <si>
    <t>(9) pBAC P3</t>
  </si>
  <si>
    <t>(9) pBAC P4</t>
  </si>
  <si>
    <t>(9) pBAC P5</t>
  </si>
  <si>
    <t>(9) pBAC-oriV P6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</si>
  <si>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</si>
  <si>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</si>
  <si>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</si>
  <si>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</si>
  <si>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</si>
  <si>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</si>
  <si>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</si>
  <si>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</si>
  <si>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</si>
  <si>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</si>
  <si>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</si>
  <si>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</si>
  <si>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</si>
  <si>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</si>
  <si>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D80</t>
  </si>
  <si>
    <t>D81</t>
  </si>
  <si>
    <t>(9) RK2 P1</t>
  </si>
  <si>
    <t>(9) RK2 P2</t>
  </si>
  <si>
    <t>gtCGTCTCactcgGAGTcctgttgagtaatagtcaaaagcctccggtcggaggc</t>
  </si>
  <si>
    <t>(8) tonB/P14t O1</t>
  </si>
  <si>
    <t>(8) tonB/P14t O2</t>
  </si>
  <si>
    <t>caCGTCTCactctTTGGgtaagcagaaagtcaaaagcctccgaccggaggc</t>
  </si>
  <si>
    <t>(9) RK2 O1</t>
  </si>
  <si>
    <t>(9) RK2 O2</t>
  </si>
  <si>
    <t>(9) RK2 P3</t>
  </si>
  <si>
    <t>(9) RK2 P4</t>
  </si>
  <si>
    <t>caCGTCTCagaacaggaggcggcaggtttg</t>
  </si>
  <si>
    <t>caCGTCTCcaccgcggcggccggcgttg</t>
  </si>
  <si>
    <t>cggtgtctcgcacacggcttcgacggcgtttcACGG</t>
  </si>
  <si>
    <t>ctctCCGTgaaacgccgtcgaagccgtgtgcgagac</t>
  </si>
  <si>
    <t>gtCGTCTCagttcAagacgacgcgaacgctcca</t>
  </si>
  <si>
    <t>gtCGTCTCactcgCCAAtgctgaacccccagccg</t>
  </si>
  <si>
    <t>gtCGTCTCactcgCCAAttcatcatcagtaacccgt</t>
  </si>
  <si>
    <t>caCGTCTCactctCCGTcccgtagaaaagatcaaagg</t>
  </si>
  <si>
    <t>(9) pET.r P1</t>
  </si>
  <si>
    <t>(9) pET.r P2</t>
  </si>
  <si>
    <t>61°</t>
  </si>
  <si>
    <t>gtCGTCTCaTcgctatctggctgacttc</t>
  </si>
  <si>
    <t>(4) mScarlet P3</t>
  </si>
  <si>
    <t>caCGTCTCagcgaccgccatctttcag</t>
  </si>
  <si>
    <t>(4) mScarlet P2</t>
  </si>
  <si>
    <t>caCGTCTCcctgaagggaggagtcct</t>
  </si>
  <si>
    <t>(4) mCherry2 P3</t>
  </si>
  <si>
    <t>gtCGTCTCaTcaggatggcgagttcatc</t>
  </si>
  <si>
    <t>(4) mCherry2 P4</t>
  </si>
  <si>
    <t>tacctttctcctctttaatgaattCGTCTCactctGTCGtgtgtgaaattgttatccgc</t>
  </si>
  <si>
    <t>(2) PL-lacO1b P2</t>
  </si>
  <si>
    <t>gtCGTCTCactcgCCAActtccattgttcattccac</t>
  </si>
  <si>
    <t>caCGTCTCatccaggtctgtgttaatgagatc</t>
  </si>
  <si>
    <t>caCGTCTCatcgtTtctctgaaaatcgactgg</t>
  </si>
  <si>
    <t>gtCGTCTCatgGaggaagcggcggcgga</t>
  </si>
  <si>
    <t>(9) pBAC P6</t>
  </si>
  <si>
    <t>caCGTCTCactctCCGTcgaggaagcaccagggaa</t>
  </si>
  <si>
    <t>gtCGTCTCgacgatgcctgagccatc</t>
  </si>
  <si>
    <t>caCGTCTCactctCCGTtgctggttgccctcgccgc</t>
  </si>
  <si>
    <t>Don't begin (7) marker with G. Best: T/C.</t>
  </si>
  <si>
    <t>Don't end (9) origin with T. Best: A/G.</t>
  </si>
  <si>
    <t>Full Description</t>
  </si>
  <si>
    <t>Printout</t>
  </si>
  <si>
    <t>(9) RK2 non-ts P2</t>
  </si>
  <si>
    <t>(9) RK2 non-ts P3</t>
  </si>
  <si>
    <t>caCGTCTCcgaggaaatcgtcgtgctgtttgctg</t>
  </si>
  <si>
    <t>gtCGTCTCtcctcgtcgatcaggacctggcaac</t>
  </si>
  <si>
    <t>(9) mini-F-P1 P1</t>
  </si>
  <si>
    <t>(9) mini-F-P1 P2</t>
  </si>
  <si>
    <t>caCGTCTCactctCCGTtaactccacttattgttaggtagaattg</t>
  </si>
  <si>
    <t>gtCGTCTCactcgCCAAtccggcaaaaaaacgggc</t>
  </si>
  <si>
    <t>gtCGTCTCagactacatccagcgcgaagg</t>
  </si>
  <si>
    <t>RSF1010 P2</t>
  </si>
  <si>
    <t>RSF1010 P3</t>
  </si>
  <si>
    <t>caCGTCTCgtagtAatAttatacAaaatggaaagcac</t>
  </si>
  <si>
    <t>gtCGTCTCgactaTtattccatgtatctttatc</t>
  </si>
  <si>
    <t>pWV01ts P2</t>
  </si>
  <si>
    <t>pWV01ts P3</t>
  </si>
  <si>
    <t>(9) pWV01 O1</t>
  </si>
  <si>
    <t>(9) pWV01 O2</t>
  </si>
  <si>
    <t>(9) pWV01 O3</t>
  </si>
  <si>
    <t>(9) pWV01 O4</t>
  </si>
  <si>
    <t>(9) pWV01 P1</t>
  </si>
  <si>
    <t>(9) pWV01 P2</t>
  </si>
  <si>
    <t>E01</t>
  </si>
  <si>
    <t>E02</t>
  </si>
  <si>
    <t>E03</t>
  </si>
  <si>
    <t>E04</t>
  </si>
  <si>
    <t>E05</t>
  </si>
  <si>
    <t>E06</t>
  </si>
  <si>
    <t>E07</t>
  </si>
  <si>
    <t>E08</t>
  </si>
  <si>
    <t>E09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</si>
  <si>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</si>
  <si>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</si>
  <si>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</si>
  <si>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</si>
  <si>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</si>
  <si>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</si>
  <si>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</si>
  <si>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</si>
  <si>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</si>
  <si>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</si>
  <si>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</si>
  <si>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</si>
  <si>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</si>
  <si>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</si>
  <si>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</si>
  <si>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</si>
  <si>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</si>
  <si>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</si>
  <si>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</si>
  <si>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</si>
  <si>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</si>
  <si>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</si>
  <si>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</si>
  <si>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</si>
  <si>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</si>
  <si>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</si>
  <si>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</si>
  <si>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</si>
  <si>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</si>
  <si>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</si>
  <si>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</si>
  <si>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</si>
  <si>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</si>
  <si>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</si>
  <si>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</si>
  <si>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</si>
  <si>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</si>
  <si>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</si>
  <si>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</si>
  <si>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</si>
  <si>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</si>
  <si>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</si>
  <si>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</si>
  <si>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</si>
  <si>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</si>
  <si>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</si>
  <si>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</si>
  <si>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</si>
  <si>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</si>
  <si>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</si>
  <si>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</si>
  <si>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</si>
  <si>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</si>
  <si>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</si>
  <si>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</si>
  <si>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</si>
  <si>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</si>
  <si>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</si>
  <si>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</si>
  <si>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</si>
  <si>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</si>
  <si>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E71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</si>
  <si>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</si>
  <si>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</si>
  <si>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</si>
  <si>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</si>
  <si>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</si>
  <si>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</si>
  <si>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</si>
  <si>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</si>
  <si>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</si>
  <si>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</si>
  <si>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AprR fix P2</t>
  </si>
  <si>
    <t>AprR fix P3</t>
  </si>
  <si>
    <t>caCGTCTCaaccttggagttgtctctg</t>
  </si>
  <si>
    <t>gtCGTCTCaaggtccggtgtaacgggc</t>
  </si>
  <si>
    <t>RSF1010 seq P1</t>
  </si>
  <si>
    <t>ccttacggcgaaaaccgg</t>
  </si>
  <si>
    <t>RSF1010 seq P2</t>
  </si>
  <si>
    <t>aataccgggaggcaatag</t>
  </si>
  <si>
    <t>RSF1010 seq P3</t>
  </si>
  <si>
    <t>gtagtggaaaccagcccg</t>
  </si>
  <si>
    <t>RSF1010 seq P4</t>
  </si>
  <si>
    <t>agtactcacgcacagaag</t>
  </si>
  <si>
    <t>RSF1010 seq P5</t>
  </si>
  <si>
    <t>caccgccattcatcaccg</t>
  </si>
  <si>
    <t>RK2 seq P1</t>
  </si>
  <si>
    <t>atcgacattcagcgaccag</t>
  </si>
  <si>
    <t>BAC seq P1</t>
  </si>
  <si>
    <t>tcacgacatcagtttgctcc</t>
  </si>
  <si>
    <t>BAC seq P2</t>
  </si>
  <si>
    <t>taattgcgcgcgtaggag</t>
  </si>
  <si>
    <t>BAC seq P3</t>
  </si>
  <si>
    <t>aaaggacgatgtcacttatgc</t>
  </si>
  <si>
    <t>BAC seq P4</t>
  </si>
  <si>
    <t>tgctcggttacacggctg</t>
  </si>
  <si>
    <t>TAACTGACGCTCGAACATC</t>
  </si>
  <si>
    <t>CAGTTAGCATTAGAACATGAATC</t>
  </si>
  <si>
    <t>TTTAGCATTAGTTCGTACACATTC</t>
  </si>
  <si>
    <t>ATGAAGTTGGTGGTCGTGC</t>
  </si>
  <si>
    <t>T7.1 seq P1</t>
  </si>
  <si>
    <t>T7.1 seq P2</t>
  </si>
  <si>
    <t>T7.1 seq P3</t>
  </si>
  <si>
    <t>T7.1 seq P4</t>
  </si>
  <si>
    <t>GTCGTCTCACTCGTGGCCCTAGCATAACCCCGCGGGGGCTCTTCGGGGCTCTCG</t>
  </si>
  <si>
    <t>CGACTGAGCCTTTCGTTTTATTTGATCTTTCAGCAAAAAACCCCGCGAGAGCCCCGAAGA</t>
  </si>
  <si>
    <t>AACGAAAGGCTCAGTCGAAAGACTGGGCCTTTCGTTTTATCTGTTGTTTGTCGCTGCG</t>
  </si>
  <si>
    <t>GGCAGCAGCCAACTCAGCTTCCTTTCGGGCTTTGTTAGCAGCGCAGCGACAAACAACAG</t>
  </si>
  <si>
    <t>GAGTTGGCTGCTGCCACCGCTGAGCAATAACTAGCATAACCCCTTGGGGCCTCTAAACGG</t>
  </si>
  <si>
    <t>TACGTCTCACTCTGCTGCTTTCAGCAAAAAACCCCTCAAGACCCGTTTAGAGGCCCCAA</t>
  </si>
  <si>
    <t>ctcgCTTCaattgtgagcgctcacaatttaatacgac</t>
  </si>
  <si>
    <t>atagtgagtcgtattaaattgtgagcgctcacaattGAAG</t>
  </si>
  <si>
    <t>tcactatagggagaaattgtgagcgctcacaattCGAC</t>
  </si>
  <si>
    <t>ctctGTCGaattgtgagcgctcacaatttctccct</t>
  </si>
  <si>
    <t>(2) pT7 2lacOs O1</t>
  </si>
  <si>
    <t>(2) pT7 2lacOs O2</t>
  </si>
  <si>
    <t>(2) pT7 2lacOs O3</t>
  </si>
  <si>
    <t>(2) pT7 2lacOs O4</t>
  </si>
  <si>
    <t>(2) pT7 2tetO2 O1</t>
  </si>
  <si>
    <t>(2) pT7 2tetO2 O2</t>
  </si>
  <si>
    <t>(2) pT7 2tetO2 O3</t>
  </si>
  <si>
    <t>(2) pT7 2tetO2 O4</t>
  </si>
  <si>
    <t>ctcgCTTCtccctatcagtgatagagataatacgac</t>
  </si>
  <si>
    <t>tcactatagggagatccctatcagtgatagagaaCGAC</t>
  </si>
  <si>
    <t>ctctGTCGttctctatcactgatagggatctcc</t>
  </si>
  <si>
    <t>ctatagtgagtcgtattatctctatcactgatagggaGAAG</t>
  </si>
  <si>
    <t>(2) pT7 O1</t>
  </si>
  <si>
    <t>(2) pT7 O2</t>
  </si>
  <si>
    <t>(5) tT7 T.7 O1</t>
  </si>
  <si>
    <t>(5) tT7 T.7 O2</t>
  </si>
  <si>
    <t>(5) tT7 tZ P1</t>
  </si>
  <si>
    <t>(5) tT7 tZ P2</t>
  </si>
  <si>
    <t>(5) tT7 tZ P3</t>
  </si>
  <si>
    <t>(5) tT7 tZ P4</t>
  </si>
  <si>
    <t>(5) tT7 tZ P5</t>
  </si>
  <si>
    <t>(5) tT7 tZ P6</t>
  </si>
  <si>
    <t>ctcgCTTCtaatacgactcactatagggagagCGAC</t>
  </si>
  <si>
    <t>ctctGTCGctctccctatagtgagtcgtattaGAAG</t>
  </si>
  <si>
    <t>ctcgTGGCtactcgaacccctagcccgctcttatcgggcggctaggggttttttgtGCTG</t>
  </si>
  <si>
    <t>ctctCAGCacaaaaaacccctagccgcccgataagagcgggctaggggttcgagtaGCCA</t>
  </si>
  <si>
    <t>(1-8*) mKate2-KanRII</t>
  </si>
  <si>
    <t>gtCGTCTCactcgCCAAaggcggctacagccgatag</t>
  </si>
  <si>
    <t>D32 (9) pBBR1 P1</t>
  </si>
  <si>
    <t>RSF1010 seq P6</t>
  </si>
  <si>
    <t>agcaacagcgaggcagc</t>
  </si>
  <si>
    <t>pBBR1 seq P1</t>
  </si>
  <si>
    <t>agcaactcgcgcagtcg</t>
  </si>
  <si>
    <t>RK2 seq P2</t>
  </si>
  <si>
    <t>ggctttctacgtgttccg</t>
  </si>
  <si>
    <t>E33 RSF1010 seq P6</t>
  </si>
  <si>
    <t>E34 RK2 seq P2</t>
  </si>
  <si>
    <t>E37 pBBR1 seq P1</t>
  </si>
  <si>
    <t>(9) R6Kγ ori P1</t>
  </si>
  <si>
    <t>(9) R6Kγ ori P2</t>
  </si>
  <si>
    <t>gtCGTCTCactcgCCAAgcagttcaacctgttgatag</t>
  </si>
  <si>
    <t>caCGTCTCactctCCGTccatgtcagccgttaag</t>
  </si>
  <si>
    <t>E38 (9) R6Kγ ori P1</t>
  </si>
  <si>
    <t>E39 (9) R6Kγ ori P2</t>
  </si>
  <si>
    <t>gtCGTCTCgctcgTCAGtGAGACCggtaataaggttg</t>
  </si>
  <si>
    <t>(3br) creDt-ccdB P1</t>
  </si>
  <si>
    <t>(2r) creDt-ccdB P1</t>
  </si>
  <si>
    <t>gtCGTCTCgctcgCTTCtGAGACCggtaataaggttg</t>
  </si>
  <si>
    <t>Linear DNAs</t>
  </si>
  <si>
    <t>Assemblies</t>
  </si>
  <si>
    <t>Sorting</t>
  </si>
  <si>
    <t>gtGGTCTCaACGGaaaaaaaaaccccgcccctg</t>
  </si>
  <si>
    <t>caGGTCTCaTTGGgtaagcagaaagtcaaaagcctcc</t>
  </si>
  <si>
    <t>pIG001</t>
  </si>
  <si>
    <t>pIG002</t>
  </si>
  <si>
    <t>pIG003</t>
  </si>
  <si>
    <t>pIG004</t>
  </si>
  <si>
    <t>pIG005</t>
  </si>
  <si>
    <t>pIG006</t>
  </si>
  <si>
    <t>pIG007</t>
  </si>
  <si>
    <t>pIG008</t>
  </si>
  <si>
    <t>pIG009</t>
  </si>
  <si>
    <t>pIG010</t>
  </si>
  <si>
    <t>pIG011</t>
  </si>
  <si>
    <t>pIG012</t>
  </si>
  <si>
    <t>pIG013</t>
  </si>
  <si>
    <t>pIG014</t>
  </si>
  <si>
    <t>pIG015</t>
  </si>
  <si>
    <t>pIG016</t>
  </si>
  <si>
    <t>pIG017</t>
  </si>
  <si>
    <t>pIG018</t>
  </si>
  <si>
    <t>pIG019</t>
  </si>
  <si>
    <t>pIG020</t>
  </si>
  <si>
    <t>pIG021</t>
  </si>
  <si>
    <t>pIG022</t>
  </si>
  <si>
    <t>pIG023</t>
  </si>
  <si>
    <t>pIG024</t>
  </si>
  <si>
    <t>pIG025</t>
  </si>
  <si>
    <t>pIG026</t>
  </si>
  <si>
    <t>pIG027</t>
  </si>
  <si>
    <t>pIG028</t>
  </si>
  <si>
    <t>pIG029</t>
  </si>
  <si>
    <t>pIG030</t>
  </si>
  <si>
    <t>pIG031</t>
  </si>
  <si>
    <t>pIG032</t>
  </si>
  <si>
    <t>pIG033</t>
  </si>
  <si>
    <t>pIG034</t>
  </si>
  <si>
    <t>pIG035</t>
  </si>
  <si>
    <t>pIG036</t>
  </si>
  <si>
    <t>pIG037</t>
  </si>
  <si>
    <t>pIG038</t>
  </si>
  <si>
    <t>pIG039</t>
  </si>
  <si>
    <t>pIG040</t>
  </si>
  <si>
    <t>pIG041</t>
  </si>
  <si>
    <t>pIG042</t>
  </si>
  <si>
    <t>pIG043</t>
  </si>
  <si>
    <t>pIG044</t>
  </si>
  <si>
    <t>pIG045</t>
  </si>
  <si>
    <t>pIG046</t>
  </si>
  <si>
    <t>pIG047</t>
  </si>
  <si>
    <t>pIG048</t>
  </si>
  <si>
    <t>pIG049</t>
  </si>
  <si>
    <t>pIG050</t>
  </si>
  <si>
    <t>pIG051</t>
  </si>
  <si>
    <t>pIG052</t>
  </si>
  <si>
    <t>pIG053</t>
  </si>
  <si>
    <t>pIG054</t>
  </si>
  <si>
    <t>pIG055</t>
  </si>
  <si>
    <t>pIG056</t>
  </si>
  <si>
    <t>pIG057</t>
  </si>
  <si>
    <t>pIG058</t>
  </si>
  <si>
    <t>pIG059</t>
  </si>
  <si>
    <t>pIG060</t>
  </si>
  <si>
    <t>pIG061</t>
  </si>
  <si>
    <t>pIG062</t>
  </si>
  <si>
    <t>pIG063</t>
  </si>
  <si>
    <t>pIG064</t>
  </si>
  <si>
    <t>pIG065</t>
  </si>
  <si>
    <t>pIG066</t>
  </si>
  <si>
    <t>pIG067</t>
  </si>
  <si>
    <t>pIG068</t>
  </si>
  <si>
    <t>pIG069</t>
  </si>
  <si>
    <t>pIG070</t>
  </si>
  <si>
    <t>pIG071</t>
  </si>
  <si>
    <t>pIG072</t>
  </si>
  <si>
    <t>pIG073</t>
  </si>
  <si>
    <t>pIG074</t>
  </si>
  <si>
    <t>pIG075</t>
  </si>
  <si>
    <t>pIG076</t>
  </si>
  <si>
    <t>pIG077</t>
  </si>
  <si>
    <t>pIG078</t>
  </si>
  <si>
    <t>pIG079</t>
  </si>
  <si>
    <t>pIG080</t>
  </si>
  <si>
    <t>pIG081</t>
  </si>
  <si>
    <t>piG101</t>
  </si>
  <si>
    <t>[DNA]
(nM)</t>
  </si>
  <si>
    <r>
      <t xml:space="preserve">overrides </t>
    </r>
    <r>
      <rPr>
        <b/>
        <sz val="9"/>
        <color theme="1" tint="0.34998626667073579"/>
        <rFont val="Calibri Light"/>
        <family val="2"/>
        <scheme val="major"/>
      </rPr>
      <t>ρ</t>
    </r>
  </si>
  <si>
    <r>
      <t>ρ</t>
    </r>
    <r>
      <rPr>
        <vertAlign val="subscript"/>
        <sz val="11"/>
        <color theme="1"/>
        <rFont val="Calibri"/>
        <family val="2"/>
        <scheme val="minor"/>
      </rPr>
      <t>DNA</t>
    </r>
    <r>
      <rPr>
        <sz val="11"/>
        <color theme="1"/>
        <rFont val="Calibri"/>
        <family val="2"/>
        <scheme val="minor"/>
      </rPr>
      <t xml:space="preserve"> (ng/µL)</t>
    </r>
  </si>
  <si>
    <t>Genewiz DNA Sequencing</t>
  </si>
  <si>
    <t>Hs.SULT1A1 part (EXAMPLE)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</si>
</sst>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E+00"/>
    <numFmt numFmtId="165" formatCode="0.##"/>
    <numFmt numFmtId="166" formatCode="0.#"/>
  </numFmts>
  <fonts count="103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Times New Roman"/>
      <family val="1"/>
    </font>
    <font>
      <sz val="10"/>
      <name val="Times New Roman"/>
      <family val="1"/>
    </font>
    <font>
      <sz val="10"/>
      <name val="Arial"/>
      <family val="2"/>
    </font>
    <font>
      <b/>
      <sz val="10"/>
      <color rgb="FF000000"/>
      <name val="Times New Roman"/>
      <family val="1"/>
    </font>
    <font>
      <u/>
      <sz val="11"/>
      <color theme="1"/>
      <name val="Calibri"/>
      <family val="2"/>
      <scheme val="minor"/>
    </font>
    <font>
      <sz val="11"/>
      <color theme="8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i/>
      <sz val="10"/>
      <color rgb="FF000000"/>
      <name val="Times New Roman"/>
      <family val="1"/>
    </font>
    <font>
      <sz val="10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Consolas"/>
      <family val="3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sz val="11"/>
      <name val="Consolas"/>
      <family val="3"/>
    </font>
    <font>
      <sz val="11"/>
      <color theme="1"/>
      <name val="Times New Roman"/>
      <family val="1"/>
    </font>
    <font>
      <sz val="10"/>
      <name val="Calibri"/>
      <family val="2"/>
      <scheme val="minor"/>
    </font>
    <font>
      <b/>
      <sz val="11"/>
      <name val="Consolas"/>
      <family val="3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0"/>
      <color rgb="FF000000"/>
      <name val="Arial"/>
      <family val="2"/>
    </font>
    <font>
      <sz val="11"/>
      <color theme="1"/>
      <name val="Consolas"/>
      <family val="3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2"/>
      <color indexed="61"/>
      <name val="Calibri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4"/>
      <name val="Calibri"/>
      <family val="2"/>
      <scheme val="minor"/>
    </font>
    <font>
      <b/>
      <u/>
      <sz val="11"/>
      <color indexed="8"/>
      <name val="Calibri"/>
      <family val="2"/>
    </font>
    <font>
      <sz val="12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11"/>
      <color theme="5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5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i/>
      <sz val="10"/>
      <name val="Times New Roman"/>
      <family val="1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0"/>
      <name val="Times New Roman"/>
      <family val="1"/>
    </font>
    <font>
      <sz val="10"/>
      <color rgb="FF000000"/>
      <name val="Times New Roman"/>
      <family val="1"/>
    </font>
    <font>
      <sz val="10"/>
      <name val="Times New Roman"/>
      <family val="1"/>
    </font>
    <font>
      <sz val="10"/>
      <color rgb="FFFF9900"/>
      <name val="Times New Roman"/>
      <family val="1"/>
    </font>
    <font>
      <sz val="10"/>
      <color rgb="FF980000"/>
      <name val="Times New Roman"/>
      <family val="1"/>
    </font>
    <font>
      <b/>
      <sz val="10"/>
      <color rgb="FF0070C0"/>
      <name val="Calibri Light"/>
      <family val="2"/>
      <scheme val="major"/>
    </font>
    <font>
      <b/>
      <sz val="10"/>
      <color rgb="FF0070C0"/>
      <name val="Times New Roman"/>
      <family val="1"/>
    </font>
    <font>
      <b/>
      <sz val="10"/>
      <color rgb="FF000000"/>
      <name val="Times New Roman"/>
      <family val="1"/>
    </font>
    <font>
      <b/>
      <sz val="10"/>
      <color theme="1" tint="0.34998626667073579"/>
      <name val="Calibri Light"/>
      <family val="2"/>
      <scheme val="major"/>
    </font>
    <font>
      <sz val="10"/>
      <color theme="1"/>
      <name val="Calibri"/>
      <family val="2"/>
      <scheme val="minor"/>
    </font>
    <font>
      <b/>
      <i/>
      <sz val="10"/>
      <color rgb="FF0070C0"/>
      <name val="Calibri Light"/>
      <family val="2"/>
      <scheme val="major"/>
    </font>
    <font>
      <vertAlign val="subscript"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8"/>
      <color rgb="FF0070C0"/>
      <name val="Times New Roman"/>
      <family val="1"/>
    </font>
    <font>
      <sz val="10"/>
      <color theme="1"/>
      <name val="Calibri Light"/>
      <family val="2"/>
      <scheme val="major"/>
    </font>
    <font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i/>
      <sz val="10"/>
      <name val="Times New Roman"/>
      <family val="1"/>
    </font>
    <font>
      <sz val="10"/>
      <color theme="1"/>
      <name val="Times New Roman"/>
      <family val="1"/>
    </font>
    <font>
      <sz val="10"/>
      <color theme="0" tint="-0.14999847407452621"/>
      <name val="Times New Roman"/>
      <family val="1"/>
    </font>
    <font>
      <i/>
      <sz val="10"/>
      <color theme="0" tint="-0.14999847407452621"/>
      <name val="Times New Roman"/>
      <family val="1"/>
    </font>
    <font>
      <i/>
      <sz val="11"/>
      <color theme="0" tint="-0.14999847407452621"/>
      <name val="Times New Roman"/>
      <family val="1"/>
    </font>
    <font>
      <sz val="11"/>
      <color theme="0" tint="-0.14999847407452621"/>
      <name val="Times New Roman"/>
      <family val="1"/>
    </font>
    <font>
      <sz val="10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i/>
      <vertAlign val="subscript"/>
      <sz val="11"/>
      <color theme="0" tint="-0.14996795556505021"/>
      <name val="Times New Roman"/>
      <family val="1"/>
    </font>
    <font>
      <sz val="10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0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vertAlign val="superscript"/>
      <sz val="11"/>
      <color rgb="FF0070C0"/>
      <name val="Times New Roman"/>
      <family val="1"/>
    </font>
    <font>
      <b/>
      <sz val="9"/>
      <color rgb="FF0070C0"/>
      <name val="Times New Roman"/>
      <family val="1"/>
    </font>
    <font>
      <sz val="10"/>
      <color rgb="FF000000"/>
      <name val="Calibri"/>
      <family val="2"/>
    </font>
    <font>
      <sz val="10"/>
      <color theme="1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9"/>
      <color theme="1" tint="0.34998626667073579"/>
      <name val="Calibri Light"/>
      <family val="2"/>
      <scheme val="major"/>
    </font>
    <font>
      <b/>
      <sz val="8"/>
      <color theme="1" tint="0.34998626667073579"/>
      <name val="Calibri Light"/>
      <family val="2"/>
      <scheme val="major"/>
    </font>
    <font>
      <b/>
      <sz val="12"/>
      <color rgb="FF0070C0"/>
      <name val="Calibri Light"/>
      <family val="2"/>
      <scheme val="major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D9D9D9"/>
        <bgColor rgb="FFD9D9D9"/>
      </patternFill>
    </fill>
    <fill>
      <patternFill patternType="solid">
        <fgColor theme="2"/>
        <bgColor rgb="FFD9D9D9"/>
      </patternFill>
    </fill>
    <fill>
      <patternFill patternType="darkDown">
        <fgColor rgb="FFEFEFEF"/>
        <bgColor rgb="FF00B050"/>
      </patternFill>
    </fill>
    <fill>
      <patternFill patternType="solid">
        <fgColor rgb="FFFF0000"/>
        <bgColor rgb="FF980000"/>
      </patternFill>
    </fill>
    <fill>
      <patternFill patternType="solid">
        <fgColor rgb="FFC00000"/>
        <bgColor rgb="FFC00000"/>
      </patternFill>
    </fill>
    <fill>
      <patternFill patternType="solid">
        <fgColor rgb="FFFFFF66"/>
        <bgColor rgb="FFFFFF00"/>
      </patternFill>
    </fill>
    <fill>
      <patternFill patternType="solid">
        <fgColor theme="5"/>
        <bgColor theme="5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rgb="FF99999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rgb="FFCCCCCC"/>
      </patternFill>
    </fill>
    <fill>
      <patternFill patternType="solid">
        <fgColor theme="4" tint="0.59999389629810485"/>
        <bgColor indexed="64"/>
      </patternFill>
    </fill>
  </fills>
  <borders count="43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thin">
        <color theme="0" tint="-0.499984740745262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/>
      <right/>
      <top/>
      <bottom style="thin">
        <color rgb="FF7F7F7F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rgb="FF7F7F7F"/>
      </top>
      <bottom style="thin">
        <color rgb="FF3F3F3F"/>
      </bottom>
      <diagonal/>
    </border>
    <border>
      <left/>
      <right style="thin">
        <color theme="1" tint="0.34998626667073579"/>
      </right>
      <top/>
      <bottom style="thin">
        <color rgb="FF7F7F7F"/>
      </bottom>
      <diagonal/>
    </border>
    <border>
      <left style="thin">
        <color theme="1" tint="0.34998626667073579"/>
      </left>
      <right/>
      <top style="thin">
        <color rgb="FF3F3F3F"/>
      </top>
      <bottom/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/>
      <bottom style="thin">
        <color rgb="FF3F3F3F"/>
      </bottom>
      <diagonal/>
    </border>
    <border>
      <left style="thin">
        <color theme="1" tint="0.34998626667073579"/>
      </left>
      <right style="thin">
        <color rgb="FF7F7F7F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theme="1" tint="0.34998626667073579"/>
      </left>
      <right style="thin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ck">
        <color indexed="64"/>
      </left>
      <right style="thin">
        <color theme="1" tint="0.34998626667073579"/>
      </right>
      <top/>
      <bottom style="thin">
        <color rgb="FF7F7F7F"/>
      </bottom>
      <diagonal/>
    </border>
    <border>
      <left style="thick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 applyFont="0"/>
    <xf numFmtId="0" fontId="21" fillId="8" borderId="1"/>
    <xf numFmtId="0" fontId="21" fillId="10" borderId="2"/>
    <xf numFmtId="0" fontId="21" fillId="5" borderId="14"/>
    <xf numFmtId="0" fontId="21" fillId="0" borderId="2"/>
    <xf numFmtId="0" fontId="21" fillId="6" borderId="14"/>
    <xf numFmtId="0" fontId="21" fillId="7" borderId="1"/>
    <xf numFmtId="0" fontId="21" fillId="9" borderId="1"/>
    <xf numFmtId="0" fontId="57" fillId="12" borderId="23" applyNumberFormat="0" applyAlignment="0" applyProtection="0"/>
    <xf numFmtId="0" fontId="58" fillId="13" borderId="24" applyNumberFormat="0" applyAlignment="0" applyProtection="0"/>
  </cellStyleXfs>
  <cellXfs count="324">
    <xf numFmtId="0" fontId="0" fillId="0" borderId="0" xfId="0"/>
    <xf numFmtId="0" fontId="0" fillId="0" borderId="0" xfId="0"/>
    <xf numFmtId="0" fontId="0" fillId="0" borderId="0" xfId="0" applyFont="1"/>
    <xf numFmtId="0" fontId="0" fillId="0" borderId="11" xfId="0" applyBorder="1" applyAlignment="1"/>
    <xf numFmtId="0" fontId="9" fillId="0" borderId="0" xfId="0" applyFont="1"/>
    <xf numFmtId="0" fontId="9" fillId="0" borderId="11" xfId="0" applyFont="1" applyBorder="1" applyAlignment="1"/>
    <xf numFmtId="0" fontId="9" fillId="0" borderId="0" xfId="0" applyFont="1" applyFill="1" applyBorder="1"/>
    <xf numFmtId="0" fontId="15" fillId="0" borderId="0" xfId="0" applyFont="1"/>
    <xf numFmtId="0" fontId="13" fillId="0" borderId="0" xfId="0" applyFont="1"/>
    <xf numFmtId="0" fontId="16" fillId="0" borderId="0" xfId="0" applyFont="1"/>
    <xf numFmtId="0" fontId="17" fillId="0" borderId="0" xfId="0" applyFont="1"/>
    <xf numFmtId="0" fontId="19" fillId="0" borderId="0" xfId="0" applyFont="1"/>
    <xf numFmtId="0" fontId="14" fillId="0" borderId="11" xfId="0" applyFont="1" applyBorder="1" applyAlignment="1"/>
    <xf numFmtId="0" fontId="9" fillId="0" borderId="11" xfId="0" applyNumberFormat="1" applyFont="1" applyBorder="1" applyAlignment="1"/>
    <xf numFmtId="0" fontId="19" fillId="0" borderId="15" xfId="0" applyFont="1" applyBorder="1"/>
    <xf numFmtId="0" fontId="17" fillId="11" borderId="15" xfId="0" applyFont="1" applyFill="1" applyBorder="1"/>
    <xf numFmtId="0" fontId="17" fillId="0" borderId="15" xfId="0" applyFont="1" applyBorder="1"/>
    <xf numFmtId="0" fontId="26" fillId="0" borderId="0" xfId="0" applyFont="1"/>
    <xf numFmtId="0" fontId="0" fillId="0" borderId="11" xfId="0" applyNumberFormat="1" applyFont="1" applyBorder="1" applyAlignment="1"/>
    <xf numFmtId="0" fontId="27" fillId="0" borderId="0" xfId="0" applyFont="1"/>
    <xf numFmtId="0" fontId="4" fillId="0" borderId="0" xfId="0" applyFont="1"/>
    <xf numFmtId="0" fontId="17" fillId="0" borderId="0" xfId="0" applyFont="1" applyAlignment="1">
      <alignment wrapText="1"/>
    </xf>
    <xf numFmtId="0" fontId="28" fillId="0" borderId="4" xfId="0" applyFont="1" applyBorder="1" applyAlignment="1">
      <alignment horizontal="left"/>
    </xf>
    <xf numFmtId="0" fontId="29" fillId="0" borderId="0" xfId="0" applyFont="1"/>
    <xf numFmtId="0" fontId="29" fillId="0" borderId="0" xfId="0" applyFont="1" applyAlignment="1">
      <alignment horizontal="left"/>
    </xf>
    <xf numFmtId="0" fontId="30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29" fillId="0" borderId="0" xfId="0" applyFont="1" applyAlignment="1">
      <alignment horizontal="right"/>
    </xf>
    <xf numFmtId="0" fontId="32" fillId="0" borderId="0" xfId="0" applyFont="1" applyAlignment="1">
      <alignment horizontal="left"/>
    </xf>
    <xf numFmtId="0" fontId="33" fillId="0" borderId="0" xfId="0" applyFont="1" applyAlignment="1">
      <alignment horizontal="lef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left"/>
    </xf>
    <xf numFmtId="0" fontId="36" fillId="0" borderId="0" xfId="0" applyFont="1" applyAlignment="1">
      <alignment horizontal="left"/>
    </xf>
    <xf numFmtId="0" fontId="37" fillId="0" borderId="0" xfId="0" applyFont="1" applyAlignment="1">
      <alignment horizontal="left"/>
    </xf>
    <xf numFmtId="0" fontId="38" fillId="0" borderId="0" xfId="0" applyFont="1" applyAlignment="1">
      <alignment horizontal="left"/>
    </xf>
    <xf numFmtId="0" fontId="33" fillId="0" borderId="0" xfId="0" applyFont="1" applyBorder="1" applyAlignment="1">
      <alignment horizontal="left" vertical="center"/>
    </xf>
    <xf numFmtId="0" fontId="39" fillId="0" borderId="0" xfId="0" applyFont="1" applyAlignment="1">
      <alignment horizontal="left"/>
    </xf>
    <xf numFmtId="0" fontId="40" fillId="0" borderId="0" xfId="0" applyFont="1" applyAlignment="1">
      <alignment horizontal="left"/>
    </xf>
    <xf numFmtId="0" fontId="29" fillId="0" borderId="0" xfId="0" applyFont="1" applyFill="1" applyAlignment="1">
      <alignment horizontal="left"/>
    </xf>
    <xf numFmtId="0" fontId="41" fillId="0" borderId="0" xfId="0" applyFont="1" applyAlignment="1">
      <alignment horizontal="left"/>
    </xf>
    <xf numFmtId="0" fontId="29" fillId="0" borderId="0" xfId="0" applyFont="1" applyBorder="1" applyAlignment="1">
      <alignment horizontal="left" vertical="center"/>
    </xf>
    <xf numFmtId="0" fontId="36" fillId="0" borderId="7" xfId="0" applyFont="1" applyBorder="1" applyAlignment="1"/>
    <xf numFmtId="0" fontId="36" fillId="0" borderId="9" xfId="0" applyFont="1" applyBorder="1" applyAlignment="1">
      <alignment horizontal="left"/>
    </xf>
    <xf numFmtId="0" fontId="43" fillId="0" borderId="7" xfId="0" applyFont="1" applyBorder="1" applyAlignment="1">
      <alignment horizontal="left"/>
    </xf>
    <xf numFmtId="0" fontId="43" fillId="0" borderId="9" xfId="0" applyFont="1" applyBorder="1" applyAlignment="1">
      <alignment horizontal="left"/>
    </xf>
    <xf numFmtId="0" fontId="44" fillId="0" borderId="0" xfId="0" applyFont="1" applyAlignment="1">
      <alignment horizontal="center"/>
    </xf>
    <xf numFmtId="0" fontId="44" fillId="0" borderId="6" xfId="0" applyFont="1" applyBorder="1" applyAlignment="1">
      <alignment horizontal="center"/>
    </xf>
    <xf numFmtId="0" fontId="43" fillId="0" borderId="10" xfId="0" applyFont="1" applyBorder="1" applyAlignment="1">
      <alignment horizontal="center"/>
    </xf>
    <xf numFmtId="0" fontId="33" fillId="0" borderId="5" xfId="0" applyFont="1" applyBorder="1" applyAlignment="1">
      <alignment horizontal="left"/>
    </xf>
    <xf numFmtId="0" fontId="43" fillId="0" borderId="0" xfId="0" applyFont="1" applyAlignment="1">
      <alignment horizontal="left"/>
    </xf>
    <xf numFmtId="0" fontId="43" fillId="0" borderId="5" xfId="0" applyFont="1" applyBorder="1" applyAlignment="1">
      <alignment horizontal="left"/>
    </xf>
    <xf numFmtId="0" fontId="45" fillId="0" borderId="0" xfId="0" applyFont="1" applyBorder="1" applyAlignment="1">
      <alignment horizontal="right"/>
    </xf>
    <xf numFmtId="0" fontId="45" fillId="0" borderId="0" xfId="0" applyFont="1" applyAlignment="1">
      <alignment horizontal="center"/>
    </xf>
    <xf numFmtId="0" fontId="45" fillId="0" borderId="6" xfId="0" applyFont="1" applyBorder="1" applyAlignment="1">
      <alignment horizontal="center"/>
    </xf>
    <xf numFmtId="0" fontId="29" fillId="0" borderId="22" xfId="0" applyFont="1" applyBorder="1" applyAlignment="1">
      <alignment horizontal="left"/>
    </xf>
    <xf numFmtId="0" fontId="29" fillId="0" borderId="13" xfId="0" applyFont="1" applyBorder="1" applyAlignment="1">
      <alignment horizontal="left"/>
    </xf>
    <xf numFmtId="0" fontId="33" fillId="0" borderId="6" xfId="0" applyFont="1" applyBorder="1" applyAlignment="1">
      <alignment horizontal="left"/>
    </xf>
    <xf numFmtId="0" fontId="43" fillId="0" borderId="8" xfId="0" applyFont="1" applyBorder="1" applyAlignment="1">
      <alignment horizontal="center"/>
    </xf>
    <xf numFmtId="0" fontId="46" fillId="0" borderId="12" xfId="0" applyFont="1" applyBorder="1" applyAlignment="1">
      <alignment horizontal="right"/>
    </xf>
    <xf numFmtId="0" fontId="46" fillId="0" borderId="7" xfId="0" applyFont="1" applyBorder="1" applyAlignment="1">
      <alignment horizontal="center"/>
    </xf>
    <xf numFmtId="0" fontId="46" fillId="0" borderId="9" xfId="0" applyFont="1" applyBorder="1" applyAlignment="1">
      <alignment horizontal="center"/>
    </xf>
    <xf numFmtId="0" fontId="29" fillId="0" borderId="6" xfId="0" applyFont="1" applyBorder="1" applyAlignment="1">
      <alignment horizontal="left"/>
    </xf>
    <xf numFmtId="0" fontId="36" fillId="0" borderId="8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47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9" fillId="0" borderId="6" xfId="0" applyFont="1" applyBorder="1" applyAlignment="1">
      <alignment horizontal="center"/>
    </xf>
    <xf numFmtId="0" fontId="33" fillId="0" borderId="6" xfId="0" applyFont="1" applyBorder="1" applyAlignment="1">
      <alignment horizontal="left" vertical="center"/>
    </xf>
    <xf numFmtId="0" fontId="33" fillId="0" borderId="0" xfId="0" applyFont="1" applyAlignment="1">
      <alignment horizontal="center"/>
    </xf>
    <xf numFmtId="0" fontId="33" fillId="0" borderId="0" xfId="0" applyFont="1" applyBorder="1" applyAlignment="1">
      <alignment horizontal="center" vertical="center"/>
    </xf>
    <xf numFmtId="0" fontId="43" fillId="0" borderId="6" xfId="0" applyFont="1" applyBorder="1" applyAlignment="1">
      <alignment horizontal="left"/>
    </xf>
    <xf numFmtId="0" fontId="35" fillId="0" borderId="0" xfId="0" applyFont="1" applyBorder="1" applyAlignment="1">
      <alignment horizontal="center" vertical="center"/>
    </xf>
    <xf numFmtId="0" fontId="48" fillId="0" borderId="8" xfId="0" applyFont="1" applyBorder="1" applyAlignment="1">
      <alignment horizontal="center"/>
    </xf>
    <xf numFmtId="0" fontId="49" fillId="0" borderId="0" xfId="0" applyFont="1" applyAlignment="1">
      <alignment horizontal="center"/>
    </xf>
    <xf numFmtId="0" fontId="50" fillId="0" borderId="0" xfId="0" applyFont="1" applyBorder="1" applyAlignment="1">
      <alignment horizontal="center" vertical="center"/>
    </xf>
    <xf numFmtId="0" fontId="51" fillId="0" borderId="8" xfId="0" applyFont="1" applyBorder="1" applyAlignment="1">
      <alignment horizontal="center"/>
    </xf>
    <xf numFmtId="0" fontId="52" fillId="0" borderId="0" xfId="0" applyFont="1" applyAlignment="1">
      <alignment horizontal="left"/>
    </xf>
    <xf numFmtId="0" fontId="52" fillId="0" borderId="6" xfId="0" applyFont="1" applyBorder="1" applyAlignment="1">
      <alignment horizontal="left"/>
    </xf>
    <xf numFmtId="0" fontId="51" fillId="0" borderId="10" xfId="0" applyFont="1" applyBorder="1" applyAlignment="1">
      <alignment horizontal="center"/>
    </xf>
    <xf numFmtId="0" fontId="53" fillId="0" borderId="6" xfId="0" applyFont="1" applyBorder="1" applyAlignment="1">
      <alignment horizontal="left"/>
    </xf>
    <xf numFmtId="0" fontId="53" fillId="0" borderId="0" xfId="0" applyFont="1" applyAlignment="1">
      <alignment horizontal="left"/>
    </xf>
    <xf numFmtId="0" fontId="53" fillId="0" borderId="0" xfId="0" applyFont="1" applyBorder="1" applyAlignment="1">
      <alignment horizontal="left" vertical="center"/>
    </xf>
    <xf numFmtId="0" fontId="36" fillId="0" borderId="13" xfId="0" applyFont="1" applyBorder="1" applyAlignment="1">
      <alignment horizontal="center"/>
    </xf>
    <xf numFmtId="0" fontId="45" fillId="0" borderId="7" xfId="0" applyFont="1" applyBorder="1" applyAlignment="1">
      <alignment horizontal="center"/>
    </xf>
    <xf numFmtId="0" fontId="45" fillId="0" borderId="9" xfId="0" applyFont="1" applyBorder="1" applyAlignment="1">
      <alignment horizontal="center"/>
    </xf>
    <xf numFmtId="0" fontId="36" fillId="0" borderId="0" xfId="0" applyFont="1" applyBorder="1" applyAlignment="1">
      <alignment horizontal="center"/>
    </xf>
    <xf numFmtId="0" fontId="54" fillId="0" borderId="8" xfId="0" applyFont="1" applyBorder="1" applyAlignment="1">
      <alignment horizontal="center"/>
    </xf>
    <xf numFmtId="0" fontId="44" fillId="0" borderId="0" xfId="0" applyFont="1" applyAlignment="1">
      <alignment horizontal="left"/>
    </xf>
    <xf numFmtId="0" fontId="50" fillId="0" borderId="6" xfId="0" applyFont="1" applyBorder="1" applyAlignment="1">
      <alignment horizontal="left"/>
    </xf>
    <xf numFmtId="0" fontId="29" fillId="0" borderId="5" xfId="0" applyFont="1" applyBorder="1" applyAlignment="1">
      <alignment horizontal="center"/>
    </xf>
    <xf numFmtId="0" fontId="55" fillId="0" borderId="6" xfId="0" applyFont="1" applyBorder="1" applyAlignment="1">
      <alignment horizontal="left"/>
    </xf>
    <xf numFmtId="0" fontId="50" fillId="0" borderId="0" xfId="0" applyFont="1" applyAlignment="1">
      <alignment horizontal="left"/>
    </xf>
    <xf numFmtId="0" fontId="47" fillId="0" borderId="6" xfId="0" applyFont="1" applyBorder="1" applyAlignment="1">
      <alignment horizontal="center"/>
    </xf>
    <xf numFmtId="0" fontId="55" fillId="0" borderId="0" xfId="0" applyFont="1" applyAlignment="1">
      <alignment horizontal="left"/>
    </xf>
    <xf numFmtId="0" fontId="50" fillId="0" borderId="6" xfId="0" applyFont="1" applyBorder="1" applyAlignment="1">
      <alignment horizontal="left" vertical="center"/>
    </xf>
    <xf numFmtId="0" fontId="55" fillId="0" borderId="0" xfId="0" applyFont="1" applyBorder="1" applyAlignment="1">
      <alignment horizontal="left" vertical="center"/>
    </xf>
    <xf numFmtId="0" fontId="50" fillId="0" borderId="0" xfId="0" applyFont="1" applyBorder="1" applyAlignment="1">
      <alignment horizontal="left" vertical="center"/>
    </xf>
    <xf numFmtId="0" fontId="44" fillId="0" borderId="6" xfId="0" applyFont="1" applyBorder="1" applyAlignment="1">
      <alignment horizontal="left"/>
    </xf>
    <xf numFmtId="0" fontId="29" fillId="0" borderId="16" xfId="0" applyFont="1" applyBorder="1" applyAlignment="1">
      <alignment horizontal="left"/>
    </xf>
    <xf numFmtId="0" fontId="36" fillId="0" borderId="17" xfId="0" applyFont="1" applyBorder="1" applyAlignment="1">
      <alignment horizontal="left"/>
    </xf>
    <xf numFmtId="0" fontId="29" fillId="0" borderId="10" xfId="0" applyFont="1" applyBorder="1" applyAlignment="1">
      <alignment horizontal="left"/>
    </xf>
    <xf numFmtId="0" fontId="49" fillId="0" borderId="6" xfId="0" applyFont="1" applyBorder="1" applyAlignment="1">
      <alignment horizontal="center"/>
    </xf>
    <xf numFmtId="0" fontId="29" fillId="0" borderId="21" xfId="0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6" fillId="0" borderId="0" xfId="0" applyFont="1" applyAlignment="1">
      <alignment horizontal="center"/>
    </xf>
    <xf numFmtId="49" fontId="56" fillId="0" borderId="0" xfId="0" applyNumberFormat="1" applyFont="1" applyBorder="1" applyAlignment="1"/>
    <xf numFmtId="49" fontId="61" fillId="0" borderId="3" xfId="0" applyNumberFormat="1" applyFont="1" applyBorder="1" applyAlignment="1">
      <alignment horizontal="center" vertical="center"/>
    </xf>
    <xf numFmtId="49" fontId="62" fillId="0" borderId="3" xfId="0" applyNumberFormat="1" applyFont="1" applyBorder="1" applyAlignment="1">
      <alignment horizontal="center" vertical="center"/>
    </xf>
    <xf numFmtId="49" fontId="63" fillId="0" borderId="3" xfId="0" applyNumberFormat="1" applyFont="1" applyBorder="1" applyAlignment="1">
      <alignment horizontal="center" vertical="center"/>
    </xf>
    <xf numFmtId="49" fontId="60" fillId="0" borderId="0" xfId="0" applyNumberFormat="1" applyFont="1" applyAlignment="1"/>
    <xf numFmtId="49" fontId="61" fillId="0" borderId="0" xfId="0" applyNumberFormat="1" applyFont="1" applyBorder="1" applyAlignment="1">
      <alignment horizontal="center" vertical="center"/>
    </xf>
    <xf numFmtId="49" fontId="61" fillId="0" borderId="0" xfId="0" applyNumberFormat="1" applyFont="1" applyAlignment="1"/>
    <xf numFmtId="49" fontId="61" fillId="0" borderId="0" xfId="0" applyNumberFormat="1" applyFont="1" applyAlignment="1">
      <alignment horizontal="center" vertical="center"/>
    </xf>
    <xf numFmtId="0" fontId="60" fillId="0" borderId="0" xfId="0" applyNumberFormat="1" applyFont="1" applyAlignment="1"/>
    <xf numFmtId="49" fontId="60" fillId="0" borderId="35" xfId="0" applyNumberFormat="1" applyFont="1" applyBorder="1" applyAlignment="1"/>
    <xf numFmtId="49" fontId="60" fillId="0" borderId="36" xfId="0" applyNumberFormat="1" applyFont="1" applyBorder="1" applyAlignment="1"/>
    <xf numFmtId="49" fontId="61" fillId="6" borderId="14" xfId="5" applyNumberFormat="1" applyFont="1" applyAlignment="1">
      <alignment horizontal="center"/>
    </xf>
    <xf numFmtId="49" fontId="61" fillId="7" borderId="1" xfId="6" applyNumberFormat="1" applyFont="1" applyAlignment="1">
      <alignment horizontal="center"/>
    </xf>
    <xf numFmtId="49" fontId="61" fillId="9" borderId="1" xfId="7" applyNumberFormat="1" applyFont="1" applyAlignment="1">
      <alignment horizontal="center"/>
    </xf>
    <xf numFmtId="49" fontId="61" fillId="8" borderId="1" xfId="1" applyNumberFormat="1" applyFont="1" applyAlignment="1">
      <alignment horizontal="center"/>
    </xf>
    <xf numFmtId="49" fontId="61" fillId="10" borderId="2" xfId="2" applyNumberFormat="1" applyFont="1" applyAlignment="1">
      <alignment horizontal="center"/>
    </xf>
    <xf numFmtId="49" fontId="61" fillId="5" borderId="14" xfId="3" applyNumberFormat="1" applyFont="1" applyAlignment="1">
      <alignment horizontal="center"/>
    </xf>
    <xf numFmtId="49" fontId="65" fillId="3" borderId="0" xfId="0" applyNumberFormat="1" applyFont="1" applyFill="1" applyAlignment="1">
      <alignment horizontal="center" vertical="center"/>
    </xf>
    <xf numFmtId="49" fontId="65" fillId="3" borderId="0" xfId="0" applyNumberFormat="1" applyFont="1" applyFill="1" applyBorder="1" applyAlignment="1">
      <alignment horizontal="center" vertical="center"/>
    </xf>
    <xf numFmtId="49" fontId="65" fillId="3" borderId="19" xfId="0" applyNumberFormat="1" applyFont="1" applyFill="1" applyBorder="1" applyAlignment="1">
      <alignment horizontal="center" vertical="center"/>
    </xf>
    <xf numFmtId="0" fontId="67" fillId="0" borderId="0" xfId="0" applyFont="1"/>
    <xf numFmtId="0" fontId="68" fillId="0" borderId="0" xfId="0" applyFont="1"/>
    <xf numFmtId="0" fontId="68" fillId="0" borderId="26" xfId="0" applyFont="1" applyBorder="1"/>
    <xf numFmtId="0" fontId="64" fillId="0" borderId="0" xfId="0" applyFont="1" applyAlignment="1">
      <alignment horizontal="right"/>
    </xf>
    <xf numFmtId="164" fontId="72" fillId="12" borderId="23" xfId="8" applyNumberFormat="1" applyFont="1"/>
    <xf numFmtId="0" fontId="73" fillId="13" borderId="37" xfId="9" applyFont="1" applyBorder="1"/>
    <xf numFmtId="0" fontId="68" fillId="0" borderId="31" xfId="0" applyFont="1" applyBorder="1"/>
    <xf numFmtId="0" fontId="69" fillId="0" borderId="31" xfId="0" applyFont="1" applyBorder="1" applyAlignment="1">
      <alignment horizontal="right" vertical="center"/>
    </xf>
    <xf numFmtId="0" fontId="74" fillId="12" borderId="23" xfId="8" applyFont="1" applyAlignment="1">
      <alignment horizontal="left"/>
    </xf>
    <xf numFmtId="0" fontId="68" fillId="0" borderId="36" xfId="0" applyFont="1" applyBorder="1"/>
    <xf numFmtId="49" fontId="66" fillId="0" borderId="0" xfId="0" applyNumberFormat="1" applyFont="1" applyAlignment="1"/>
    <xf numFmtId="49" fontId="75" fillId="3" borderId="0" xfId="0" applyNumberFormat="1" applyFont="1" applyFill="1" applyAlignment="1">
      <alignment horizontal="center" vertical="center" wrapText="1"/>
    </xf>
    <xf numFmtId="49" fontId="75" fillId="3" borderId="0" xfId="0" applyNumberFormat="1" applyFont="1" applyFill="1" applyBorder="1" applyAlignment="1">
      <alignment horizontal="center" vertical="center" wrapText="1"/>
    </xf>
    <xf numFmtId="49" fontId="75" fillId="3" borderId="19" xfId="0" applyNumberFormat="1" applyFont="1" applyFill="1" applyBorder="1" applyAlignment="1">
      <alignment horizontal="center" vertical="center" wrapText="1"/>
    </xf>
    <xf numFmtId="49" fontId="65" fillId="15" borderId="0" xfId="0" applyNumberFormat="1" applyFont="1" applyFill="1" applyAlignment="1">
      <alignment horizontal="center" vertical="center"/>
    </xf>
    <xf numFmtId="49" fontId="65" fillId="15" borderId="0" xfId="0" applyNumberFormat="1" applyFont="1" applyFill="1" applyAlignment="1">
      <alignment horizontal="center" vertical="center" wrapText="1"/>
    </xf>
    <xf numFmtId="49" fontId="65" fillId="17" borderId="0" xfId="0" applyNumberFormat="1" applyFont="1" applyFill="1" applyAlignment="1">
      <alignment horizontal="center" vertical="center"/>
    </xf>
    <xf numFmtId="0" fontId="69" fillId="0" borderId="29" xfId="0" applyFont="1" applyBorder="1" applyAlignment="1">
      <alignment horizontal="center" vertical="center" wrapText="1"/>
    </xf>
    <xf numFmtId="0" fontId="64" fillId="0" borderId="38" xfId="0" quotePrefix="1" applyFont="1" applyBorder="1" applyAlignment="1">
      <alignment horizontal="left" vertical="center" wrapText="1"/>
    </xf>
    <xf numFmtId="0" fontId="64" fillId="0" borderId="27" xfId="0" applyFont="1" applyBorder="1" applyAlignment="1">
      <alignment horizontal="center" vertical="center" wrapText="1"/>
    </xf>
    <xf numFmtId="164" fontId="72" fillId="12" borderId="23" xfId="8" applyNumberFormat="1" applyFont="1" applyAlignment="1">
      <alignment vertical="top"/>
    </xf>
    <xf numFmtId="0" fontId="68" fillId="0" borderId="25" xfId="0" applyFont="1" applyBorder="1" applyAlignment="1">
      <alignment vertical="top" wrapText="1"/>
    </xf>
    <xf numFmtId="0" fontId="68" fillId="0" borderId="26" xfId="0" applyFont="1" applyBorder="1" applyAlignment="1">
      <alignment vertical="center"/>
    </xf>
    <xf numFmtId="0" fontId="69" fillId="0" borderId="0" xfId="0" applyFont="1" applyAlignment="1">
      <alignment horizontal="center" vertical="center"/>
    </xf>
    <xf numFmtId="0" fontId="69" fillId="0" borderId="28" xfId="0" applyFont="1" applyBorder="1" applyAlignment="1">
      <alignment horizontal="center" vertical="center"/>
    </xf>
    <xf numFmtId="0" fontId="76" fillId="0" borderId="30" xfId="0" applyFont="1" applyBorder="1" applyAlignment="1">
      <alignment vertical="center"/>
    </xf>
    <xf numFmtId="0" fontId="69" fillId="0" borderId="32" xfId="0" applyFont="1" applyBorder="1" applyAlignment="1">
      <alignment horizontal="center" vertical="center" wrapText="1"/>
    </xf>
    <xf numFmtId="0" fontId="69" fillId="0" borderId="33" xfId="0" applyFont="1" applyBorder="1" applyAlignment="1">
      <alignment horizontal="center" vertical="center"/>
    </xf>
    <xf numFmtId="49" fontId="77" fillId="0" borderId="0" xfId="0" applyNumberFormat="1" applyFont="1" applyBorder="1" applyAlignment="1"/>
    <xf numFmtId="49" fontId="78" fillId="0" borderId="18" xfId="4" applyNumberFormat="1" applyFont="1" applyBorder="1"/>
    <xf numFmtId="49" fontId="78" fillId="0" borderId="20" xfId="4" applyNumberFormat="1" applyFont="1" applyBorder="1"/>
    <xf numFmtId="49" fontId="59" fillId="2" borderId="0" xfId="0" applyNumberFormat="1" applyFont="1" applyFill="1" applyAlignment="1">
      <alignment horizontal="center" vertical="center" wrapText="1"/>
    </xf>
    <xf numFmtId="49" fontId="78" fillId="0" borderId="2" xfId="4" applyNumberFormat="1" applyFont="1"/>
    <xf numFmtId="49" fontId="78" fillId="0" borderId="0" xfId="0" applyNumberFormat="1" applyFont="1" applyAlignment="1"/>
    <xf numFmtId="0" fontId="77" fillId="0" borderId="0" xfId="0" applyNumberFormat="1" applyFont="1" applyAlignment="1"/>
    <xf numFmtId="49" fontId="77" fillId="0" borderId="35" xfId="0" applyNumberFormat="1" applyFont="1" applyBorder="1" applyAlignment="1"/>
    <xf numFmtId="49" fontId="77" fillId="0" borderId="0" xfId="0" applyNumberFormat="1" applyFont="1" applyAlignment="1"/>
    <xf numFmtId="49" fontId="77" fillId="0" borderId="36" xfId="0" applyNumberFormat="1" applyFont="1" applyBorder="1" applyAlignment="1"/>
    <xf numFmtId="49" fontId="59" fillId="2" borderId="0" xfId="0" applyNumberFormat="1" applyFont="1" applyFill="1" applyBorder="1" applyAlignment="1">
      <alignment horizontal="center" vertical="center" wrapText="1"/>
    </xf>
    <xf numFmtId="49" fontId="61" fillId="0" borderId="0" xfId="0" applyNumberFormat="1" applyFont="1" applyBorder="1" applyAlignment="1"/>
    <xf numFmtId="49" fontId="80" fillId="0" borderId="0" xfId="0" applyNumberFormat="1" applyFont="1" applyBorder="1"/>
    <xf numFmtId="49" fontId="60" fillId="0" borderId="0" xfId="0" applyNumberFormat="1" applyFont="1" applyBorder="1" applyAlignment="1"/>
    <xf numFmtId="49" fontId="68" fillId="0" borderId="0" xfId="0" applyNumberFormat="1" applyFont="1" applyBorder="1"/>
    <xf numFmtId="49" fontId="78" fillId="0" borderId="0" xfId="0" applyNumberFormat="1" applyFont="1" applyBorder="1" applyAlignment="1"/>
    <xf numFmtId="0" fontId="77" fillId="0" borderId="0" xfId="0" applyNumberFormat="1" applyFont="1" applyBorder="1" applyAlignment="1"/>
    <xf numFmtId="49" fontId="81" fillId="0" borderId="0" xfId="0" applyNumberFormat="1" applyFont="1" applyBorder="1" applyAlignment="1"/>
    <xf numFmtId="49" fontId="78" fillId="0" borderId="0" xfId="0" applyNumberFormat="1" applyFont="1" applyBorder="1" applyAlignment="1">
      <alignment wrapText="1"/>
    </xf>
    <xf numFmtId="0" fontId="61" fillId="0" borderId="0" xfId="0" applyFont="1"/>
    <xf numFmtId="49" fontId="66" fillId="2" borderId="0" xfId="0" applyNumberFormat="1" applyFont="1" applyFill="1" applyBorder="1" applyAlignment="1"/>
    <xf numFmtId="49" fontId="82" fillId="0" borderId="0" xfId="0" applyNumberFormat="1" applyFont="1" applyBorder="1"/>
    <xf numFmtId="49" fontId="77" fillId="0" borderId="0" xfId="0" applyNumberFormat="1" applyFont="1" applyBorder="1" applyAlignment="1">
      <alignment wrapText="1"/>
    </xf>
    <xf numFmtId="49" fontId="59" fillId="2" borderId="0" xfId="0" applyNumberFormat="1" applyFont="1" applyFill="1" applyBorder="1" applyAlignment="1"/>
    <xf numFmtId="0" fontId="78" fillId="0" borderId="0" xfId="0" applyNumberFormat="1" applyFont="1" applyBorder="1"/>
    <xf numFmtId="49" fontId="60" fillId="2" borderId="0" xfId="0" applyNumberFormat="1" applyFont="1" applyFill="1" applyBorder="1"/>
    <xf numFmtId="0" fontId="79" fillId="0" borderId="0" xfId="0" applyNumberFormat="1" applyFont="1" applyBorder="1"/>
    <xf numFmtId="49" fontId="79" fillId="0" borderId="0" xfId="0" applyNumberFormat="1" applyFont="1" applyBorder="1"/>
    <xf numFmtId="49" fontId="79" fillId="0" borderId="36" xfId="0" applyNumberFormat="1" applyFont="1" applyBorder="1"/>
    <xf numFmtId="49" fontId="60" fillId="2" borderId="0" xfId="0" applyNumberFormat="1" applyFont="1" applyFill="1" applyAlignment="1"/>
    <xf numFmtId="49" fontId="77" fillId="0" borderId="19" xfId="0" applyNumberFormat="1" applyFont="1" applyBorder="1" applyAlignment="1"/>
    <xf numFmtId="49" fontId="21" fillId="0" borderId="0" xfId="0" applyNumberFormat="1" applyFont="1" applyBorder="1" applyAlignment="1">
      <alignment wrapText="1"/>
    </xf>
    <xf numFmtId="0" fontId="21" fillId="0" borderId="2" xfId="4"/>
    <xf numFmtId="49" fontId="20" fillId="0" borderId="0" xfId="0" applyNumberFormat="1" applyFont="1" applyBorder="1" applyAlignment="1"/>
    <xf numFmtId="0" fontId="78" fillId="0" borderId="0" xfId="0" applyNumberFormat="1" applyFont="1" applyAlignment="1"/>
    <xf numFmtId="49" fontId="83" fillId="2" borderId="0" xfId="0" applyNumberFormat="1" applyFont="1" applyFill="1" applyAlignment="1">
      <alignment horizontal="center" vertical="center" wrapText="1"/>
    </xf>
    <xf numFmtId="49" fontId="83" fillId="0" borderId="0" xfId="0" applyNumberFormat="1" applyFont="1" applyAlignment="1"/>
    <xf numFmtId="49" fontId="84" fillId="0" borderId="0" xfId="0" applyNumberFormat="1" applyFont="1" applyAlignment="1"/>
    <xf numFmtId="49" fontId="87" fillId="0" borderId="0" xfId="0" applyNumberFormat="1" applyFont="1" applyBorder="1" applyAlignment="1"/>
    <xf numFmtId="49" fontId="87" fillId="5" borderId="14" xfId="3" applyNumberFormat="1" applyFont="1"/>
    <xf numFmtId="49" fontId="83" fillId="10" borderId="2" xfId="2" applyNumberFormat="1" applyFont="1"/>
    <xf numFmtId="49" fontId="83" fillId="8" borderId="1" xfId="1" applyNumberFormat="1" applyFont="1"/>
    <xf numFmtId="49" fontId="87" fillId="0" borderId="18" xfId="4" applyNumberFormat="1" applyFont="1" applyBorder="1"/>
    <xf numFmtId="49" fontId="87" fillId="0" borderId="20" xfId="4" applyNumberFormat="1" applyFont="1" applyBorder="1"/>
    <xf numFmtId="0" fontId="83" fillId="0" borderId="0" xfId="0" applyNumberFormat="1" applyFont="1" applyAlignment="1"/>
    <xf numFmtId="0" fontId="83" fillId="0" borderId="0" xfId="0" applyNumberFormat="1" applyFont="1"/>
    <xf numFmtId="0" fontId="88" fillId="0" borderId="0" xfId="0" applyFont="1"/>
    <xf numFmtId="0" fontId="88" fillId="0" borderId="36" xfId="0" applyFont="1" applyBorder="1"/>
    <xf numFmtId="49" fontId="86" fillId="0" borderId="0" xfId="0" applyNumberFormat="1" applyFont="1" applyAlignment="1"/>
    <xf numFmtId="0" fontId="0" fillId="0" borderId="11" xfId="0" applyNumberFormat="1" applyBorder="1" applyAlignment="1"/>
    <xf numFmtId="49" fontId="3" fillId="0" borderId="0" xfId="0" applyNumberFormat="1" applyFont="1" applyBorder="1" applyAlignment="1"/>
    <xf numFmtId="0" fontId="90" fillId="0" borderId="0" xfId="0" applyFont="1"/>
    <xf numFmtId="0" fontId="91" fillId="0" borderId="0" xfId="0" applyFont="1"/>
    <xf numFmtId="49" fontId="61" fillId="0" borderId="0" xfId="0" applyNumberFormat="1" applyFont="1" applyAlignment="1">
      <alignment horizontal="fill"/>
    </xf>
    <xf numFmtId="49" fontId="57" fillId="12" borderId="23" xfId="8" applyNumberFormat="1" applyAlignment="1">
      <alignment horizontal="fill" wrapText="1"/>
    </xf>
    <xf numFmtId="49" fontId="2" fillId="0" borderId="0" xfId="0" applyNumberFormat="1" applyFont="1" applyBorder="1" applyAlignment="1"/>
    <xf numFmtId="49" fontId="10" fillId="0" borderId="0" xfId="0" applyNumberFormat="1" applyFont="1" applyBorder="1"/>
    <xf numFmtId="0" fontId="13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  <xf numFmtId="49" fontId="60" fillId="0" borderId="0" xfId="0" applyNumberFormat="1" applyFont="1" applyAlignment="1"/>
    <xf numFmtId="49" fontId="61" fillId="0" borderId="0" xfId="0" applyNumberFormat="1" applyFont="1" applyFill="1" applyAlignment="1">
      <alignment horizontal="right" vertical="center" wrapText="1"/>
    </xf>
    <xf numFmtId="49" fontId="61" fillId="0" borderId="0" xfId="0" applyNumberFormat="1" applyFont="1" applyFill="1" applyBorder="1" applyAlignment="1">
      <alignment horizontal="right" vertical="center" wrapText="1"/>
    </xf>
    <xf numFmtId="0" fontId="0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49" fontId="11" fillId="0" borderId="0" xfId="0" applyNumberFormat="1" applyFont="1" applyBorder="1" applyAlignment="1"/>
    <xf numFmtId="0" fontId="57" fillId="12" borderId="23" xfId="8"/>
    <xf numFmtId="2" fontId="58" fillId="13" borderId="24" xfId="9" applyNumberFormat="1"/>
    <xf numFmtId="165" fontId="58" fillId="13" borderId="24" xfId="9" applyNumberFormat="1"/>
    <xf numFmtId="0" fontId="58" fillId="13" borderId="24" xfId="9"/>
    <xf numFmtId="166" fontId="58" fillId="13" borderId="24" xfId="9" applyNumberFormat="1"/>
    <xf numFmtId="49" fontId="21" fillId="0" borderId="0" xfId="0" applyNumberFormat="1" applyFont="1" applyBorder="1" applyAlignment="1"/>
    <xf numFmtId="0" fontId="87" fillId="0" borderId="0" xfId="0" applyNumberFormat="1" applyFont="1" applyBorder="1" applyAlignment="1">
      <alignment horizontal="fill"/>
    </xf>
    <xf numFmtId="0" fontId="3" fillId="0" borderId="0" xfId="0" applyNumberFormat="1" applyFont="1" applyBorder="1" applyAlignment="1">
      <alignment horizontal="fill"/>
    </xf>
    <xf numFmtId="0" fontId="14" fillId="0" borderId="8" xfId="0" applyFont="1" applyBorder="1" applyAlignment="1">
      <alignment horizontal="center"/>
    </xf>
    <xf numFmtId="0" fontId="13" fillId="0" borderId="0" xfId="0" applyFont="1" applyBorder="1" applyAlignment="1">
      <alignment horizontal="left" vertical="center"/>
    </xf>
    <xf numFmtId="0" fontId="43" fillId="0" borderId="10" xfId="0" applyFont="1" applyBorder="1" applyAlignment="1">
      <alignment horizontal="right" indent="2"/>
    </xf>
    <xf numFmtId="49" fontId="2" fillId="0" borderId="0" xfId="0" applyNumberFormat="1" applyFont="1" applyAlignment="1"/>
    <xf numFmtId="0" fontId="23" fillId="0" borderId="0" xfId="0" applyFont="1" applyAlignment="1">
      <alignment horizontal="left"/>
    </xf>
    <xf numFmtId="0" fontId="23" fillId="0" borderId="6" xfId="0" applyFont="1" applyBorder="1" applyAlignment="1">
      <alignment horizontal="left"/>
    </xf>
    <xf numFmtId="0" fontId="0" fillId="0" borderId="0" xfId="0" applyFont="1" applyAlignment="1">
      <alignment horizontal="center"/>
    </xf>
    <xf numFmtId="49" fontId="60" fillId="0" borderId="0" xfId="0" applyNumberFormat="1" applyFont="1" applyAlignment="1"/>
    <xf numFmtId="49" fontId="65" fillId="17" borderId="0" xfId="0" applyNumberFormat="1" applyFont="1" applyFill="1" applyAlignment="1">
      <alignment horizontal="center" vertical="center"/>
    </xf>
    <xf numFmtId="49" fontId="60" fillId="0" borderId="0" xfId="0" applyNumberFormat="1" applyFont="1" applyAlignment="1"/>
    <xf numFmtId="49" fontId="10" fillId="0" borderId="0" xfId="0" applyNumberFormat="1" applyFont="1" applyBorder="1" applyAlignment="1"/>
    <xf numFmtId="49" fontId="12" fillId="0" borderId="0" xfId="0" applyNumberFormat="1" applyFont="1" applyBorder="1" applyAlignment="1">
      <alignment wrapText="1"/>
    </xf>
    <xf numFmtId="49" fontId="12" fillId="0" borderId="0" xfId="0" applyNumberFormat="1" applyFont="1" applyBorder="1" applyAlignment="1"/>
    <xf numFmtId="49" fontId="5" fillId="0" borderId="0" xfId="0" applyNumberFormat="1" applyFont="1" applyAlignment="1"/>
    <xf numFmtId="49" fontId="60" fillId="0" borderId="0" xfId="0" applyNumberFormat="1" applyFont="1" applyAlignment="1">
      <alignment wrapText="1"/>
    </xf>
    <xf numFmtId="49" fontId="66" fillId="0" borderId="0" xfId="0" applyNumberFormat="1" applyFont="1" applyAlignment="1">
      <alignment wrapText="1"/>
    </xf>
    <xf numFmtId="49" fontId="77" fillId="0" borderId="0" xfId="0" applyNumberFormat="1" applyFont="1" applyAlignment="1">
      <alignment wrapText="1"/>
    </xf>
    <xf numFmtId="49" fontId="12" fillId="0" borderId="0" xfId="0" applyNumberFormat="1" applyFont="1" applyBorder="1" applyAlignment="1">
      <alignment vertical="center"/>
    </xf>
    <xf numFmtId="49" fontId="12" fillId="0" borderId="21" xfId="0" applyNumberFormat="1" applyFont="1" applyBorder="1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1" fillId="0" borderId="21" xfId="0" applyFont="1" applyBorder="1" applyAlignment="1">
      <alignment vertical="center"/>
    </xf>
    <xf numFmtId="0" fontId="58" fillId="13" borderId="40" xfId="9" applyNumberFormat="1" applyBorder="1" applyAlignment="1"/>
    <xf numFmtId="49" fontId="60" fillId="0" borderId="11" xfId="0" applyNumberFormat="1" applyFont="1" applyBorder="1" applyAlignment="1"/>
    <xf numFmtId="0" fontId="67" fillId="0" borderId="11" xfId="0" applyFont="1" applyBorder="1"/>
    <xf numFmtId="0" fontId="69" fillId="0" borderId="41" xfId="0" applyFont="1" applyBorder="1" applyAlignment="1">
      <alignment horizontal="center" vertical="center" wrapText="1"/>
    </xf>
    <xf numFmtId="0" fontId="57" fillId="12" borderId="42" xfId="8" applyBorder="1"/>
    <xf numFmtId="49" fontId="77" fillId="0" borderId="11" xfId="0" applyNumberFormat="1" applyFont="1" applyBorder="1" applyAlignment="1"/>
    <xf numFmtId="49" fontId="88" fillId="0" borderId="0" xfId="0" applyNumberFormat="1" applyFont="1" applyAlignment="1">
      <alignment horizontal="fill"/>
    </xf>
    <xf numFmtId="0" fontId="88" fillId="0" borderId="0" xfId="0" applyNumberFormat="1" applyFont="1" applyBorder="1" applyAlignment="1"/>
    <xf numFmtId="0" fontId="90" fillId="0" borderId="42" xfId="8" applyFont="1" applyFill="1" applyBorder="1"/>
    <xf numFmtId="0" fontId="90" fillId="0" borderId="23" xfId="8" applyFont="1" applyFill="1"/>
    <xf numFmtId="0" fontId="91" fillId="0" borderId="39" xfId="8" applyFont="1" applyFill="1" applyBorder="1"/>
    <xf numFmtId="2" fontId="92" fillId="0" borderId="34" xfId="9" applyNumberFormat="1" applyFont="1" applyFill="1" applyBorder="1"/>
    <xf numFmtId="165" fontId="92" fillId="0" borderId="24" xfId="9" applyNumberFormat="1" applyFont="1" applyFill="1"/>
    <xf numFmtId="0" fontId="92" fillId="0" borderId="24" xfId="9" applyFont="1" applyFill="1"/>
    <xf numFmtId="0" fontId="90" fillId="0" borderId="0" xfId="0" applyFont="1" applyFill="1"/>
    <xf numFmtId="2" fontId="92" fillId="0" borderId="24" xfId="9" applyNumberFormat="1" applyFont="1" applyFill="1"/>
    <xf numFmtId="166" fontId="92" fillId="0" borderId="24" xfId="9" applyNumberFormat="1" applyFont="1" applyFill="1"/>
    <xf numFmtId="0" fontId="91" fillId="0" borderId="0" xfId="0" applyFont="1" applyFill="1"/>
    <xf numFmtId="165" fontId="93" fillId="0" borderId="24" xfId="9" applyNumberFormat="1" applyFont="1" applyFill="1"/>
    <xf numFmtId="0" fontId="93" fillId="0" borderId="24" xfId="9" applyFont="1" applyFill="1"/>
    <xf numFmtId="0" fontId="57" fillId="0" borderId="42" xfId="8" applyFill="1" applyBorder="1"/>
    <xf numFmtId="0" fontId="57" fillId="0" borderId="23" xfId="8" applyFill="1"/>
    <xf numFmtId="0" fontId="88" fillId="0" borderId="0" xfId="0" applyFont="1" applyAlignment="1">
      <alignment horizontal="center"/>
    </xf>
    <xf numFmtId="49" fontId="77" fillId="0" borderId="0" xfId="0" applyNumberFormat="1" applyFont="1" applyAlignment="1">
      <alignment horizontal="center"/>
    </xf>
    <xf numFmtId="49" fontId="77" fillId="0" borderId="0" xfId="0" applyNumberFormat="1" applyFont="1" applyBorder="1" applyAlignment="1">
      <alignment horizontal="center"/>
    </xf>
    <xf numFmtId="49" fontId="12" fillId="0" borderId="0" xfId="0" applyNumberFormat="1" applyFont="1" applyBorder="1" applyAlignment="1">
      <alignment horizontal="center"/>
    </xf>
    <xf numFmtId="49" fontId="79" fillId="0" borderId="0" xfId="0" applyNumberFormat="1" applyFont="1" applyBorder="1" applyAlignment="1">
      <alignment horizontal="center"/>
    </xf>
    <xf numFmtId="0" fontId="27" fillId="0" borderId="0" xfId="0" applyNumberFormat="1" applyFont="1"/>
    <xf numFmtId="0" fontId="12" fillId="0" borderId="0" xfId="0" applyNumberFormat="1" applyFont="1" applyBorder="1" applyAlignment="1">
      <alignment wrapText="1"/>
    </xf>
    <xf numFmtId="0" fontId="12" fillId="0" borderId="0" xfId="0" applyNumberFormat="1" applyFont="1" applyBorder="1" applyAlignment="1"/>
    <xf numFmtId="0" fontId="77" fillId="0" borderId="0" xfId="0" applyNumberFormat="1" applyFont="1" applyBorder="1" applyAlignment="1">
      <alignment wrapText="1"/>
    </xf>
    <xf numFmtId="0" fontId="96" fillId="0" borderId="0" xfId="0" applyFont="1" applyAlignment="1">
      <alignment vertical="center"/>
    </xf>
    <xf numFmtId="49" fontId="96" fillId="0" borderId="0" xfId="0" applyNumberFormat="1" applyFont="1" applyBorder="1" applyAlignment="1">
      <alignment vertical="center"/>
    </xf>
    <xf numFmtId="49" fontId="96" fillId="0" borderId="0" xfId="0" applyNumberFormat="1" applyFont="1" applyBorder="1" applyAlignment="1">
      <alignment vertical="center" wrapText="1"/>
    </xf>
    <xf numFmtId="49" fontId="96" fillId="0" borderId="0" xfId="0" applyNumberFormat="1" applyFont="1" applyBorder="1" applyAlignment="1"/>
    <xf numFmtId="49" fontId="96" fillId="0" borderId="0" xfId="0" applyNumberFormat="1" applyFont="1" applyBorder="1" applyAlignment="1">
      <alignment wrapText="1"/>
    </xf>
    <xf numFmtId="0" fontId="97" fillId="0" borderId="0" xfId="0" applyFont="1" applyAlignment="1">
      <alignment vertical="center"/>
    </xf>
    <xf numFmtId="49" fontId="98" fillId="0" borderId="21" xfId="0" applyNumberFormat="1" applyFont="1" applyBorder="1" applyAlignment="1">
      <alignment vertical="center" wrapText="1"/>
    </xf>
    <xf numFmtId="0" fontId="98" fillId="0" borderId="0" xfId="0" applyFont="1" applyAlignment="1">
      <alignment vertical="center"/>
    </xf>
    <xf numFmtId="49" fontId="98" fillId="0" borderId="0" xfId="0" applyNumberFormat="1" applyFont="1" applyBorder="1" applyAlignment="1">
      <alignment wrapText="1"/>
    </xf>
    <xf numFmtId="0" fontId="0" fillId="0" borderId="0" xfId="0" applyBorder="1" applyAlignment="1">
      <alignment vertical="center"/>
    </xf>
    <xf numFmtId="0" fontId="98" fillId="0" borderId="0" xfId="0" applyFont="1" applyBorder="1" applyAlignment="1">
      <alignment vertical="center"/>
    </xf>
    <xf numFmtId="0" fontId="99" fillId="0" borderId="0" xfId="0" applyFont="1" applyBorder="1" applyAlignment="1">
      <alignment vertical="center"/>
    </xf>
    <xf numFmtId="0" fontId="98" fillId="0" borderId="21" xfId="0" applyFont="1" applyBorder="1" applyAlignment="1">
      <alignment vertical="center"/>
    </xf>
    <xf numFmtId="49" fontId="12" fillId="0" borderId="0" xfId="0" applyNumberFormat="1" applyFont="1" applyBorder="1" applyAlignment="1">
      <alignment vertical="center" wrapText="1"/>
    </xf>
    <xf numFmtId="49" fontId="3" fillId="18" borderId="0" xfId="0" applyNumberFormat="1" applyFont="1" applyFill="1" applyBorder="1" applyAlignment="1"/>
    <xf numFmtId="49" fontId="65" fillId="3" borderId="0" xfId="0" applyNumberFormat="1" applyFont="1" applyFill="1" applyAlignment="1">
      <alignment horizontal="center" vertical="center" wrapText="1"/>
    </xf>
    <xf numFmtId="0" fontId="69" fillId="0" borderId="0" xfId="0" applyFont="1" applyBorder="1" applyAlignment="1">
      <alignment horizontal="center"/>
    </xf>
    <xf numFmtId="0" fontId="69" fillId="0" borderId="25" xfId="0" applyFont="1" applyBorder="1" applyAlignment="1">
      <alignment horizontal="center"/>
    </xf>
    <xf numFmtId="49" fontId="65" fillId="17" borderId="0" xfId="0" applyNumberFormat="1" applyFont="1" applyFill="1" applyAlignment="1">
      <alignment horizontal="center" vertical="center"/>
    </xf>
    <xf numFmtId="49" fontId="65" fillId="14" borderId="0" xfId="0" applyNumberFormat="1" applyFont="1" applyFill="1" applyAlignment="1"/>
    <xf numFmtId="49" fontId="59" fillId="0" borderId="0" xfId="0" applyNumberFormat="1" applyFont="1" applyAlignment="1">
      <alignment horizontal="center" vertical="center" wrapText="1"/>
    </xf>
    <xf numFmtId="49" fontId="60" fillId="0" borderId="0" xfId="0" applyNumberFormat="1" applyFont="1" applyAlignment="1"/>
    <xf numFmtId="49" fontId="59" fillId="4" borderId="0" xfId="0" applyNumberFormat="1" applyFont="1" applyFill="1" applyAlignment="1">
      <alignment horizontal="center" vertical="center" wrapText="1"/>
    </xf>
    <xf numFmtId="49" fontId="66" fillId="2" borderId="0" xfId="0" applyNumberFormat="1" applyFont="1" applyFill="1" applyAlignment="1"/>
    <xf numFmtId="49" fontId="65" fillId="0" borderId="0" xfId="0" applyNumberFormat="1" applyFont="1" applyAlignment="1"/>
    <xf numFmtId="49" fontId="65" fillId="3" borderId="0" xfId="0" applyNumberFormat="1" applyFont="1" applyFill="1" applyAlignment="1">
      <alignment horizontal="center" vertical="center"/>
    </xf>
    <xf numFmtId="49" fontId="65" fillId="15" borderId="0" xfId="0" applyNumberFormat="1" applyFont="1" applyFill="1" applyAlignment="1">
      <alignment horizontal="center" vertical="center"/>
    </xf>
    <xf numFmtId="49" fontId="65" fillId="16" borderId="0" xfId="0" applyNumberFormat="1" applyFont="1" applyFill="1" applyAlignment="1"/>
    <xf numFmtId="49" fontId="61" fillId="0" borderId="0" xfId="0" applyNumberFormat="1" applyFont="1" applyFill="1" applyAlignment="1">
      <alignment horizontal="right" vertical="center" wrapText="1"/>
    </xf>
    <xf numFmtId="49" fontId="61" fillId="0" borderId="0" xfId="0" applyNumberFormat="1" applyFont="1" applyFill="1" applyBorder="1" applyAlignment="1">
      <alignment horizontal="right" vertical="center" wrapText="1"/>
    </xf>
    <xf numFmtId="49" fontId="64" fillId="14" borderId="35" xfId="0" applyNumberFormat="1" applyFont="1" applyFill="1" applyBorder="1" applyAlignment="1">
      <alignment horizontal="center"/>
    </xf>
    <xf numFmtId="49" fontId="64" fillId="14" borderId="0" xfId="0" applyNumberFormat="1" applyFont="1" applyFill="1" applyBorder="1" applyAlignment="1">
      <alignment horizontal="center"/>
    </xf>
    <xf numFmtId="49" fontId="64" fillId="14" borderId="36" xfId="0" applyNumberFormat="1" applyFont="1" applyFill="1" applyBorder="1" applyAlignment="1">
      <alignment horizontal="center"/>
    </xf>
    <xf numFmtId="49" fontId="95" fillId="3" borderId="0" xfId="0" applyNumberFormat="1" applyFont="1" applyFill="1" applyAlignment="1">
      <alignment horizontal="center" vertical="center" textRotation="180" wrapText="1"/>
    </xf>
    <xf numFmtId="0" fontId="69" fillId="0" borderId="31" xfId="0" applyFont="1" applyBorder="1" applyAlignment="1">
      <alignment horizontal="center" vertical="center"/>
    </xf>
    <xf numFmtId="0" fontId="42" fillId="0" borderId="0" xfId="0" applyFont="1" applyAlignment="1">
      <alignment horizontal="center"/>
    </xf>
    <xf numFmtId="0" fontId="42" fillId="0" borderId="13" xfId="0" applyFont="1" applyBorder="1" applyAlignment="1">
      <alignment horizontal="center"/>
    </xf>
    <xf numFmtId="0" fontId="42" fillId="0" borderId="0" xfId="0" applyFont="1" applyBorder="1" applyAlignment="1">
      <alignment horizontal="center"/>
    </xf>
    <xf numFmtId="0" fontId="42" fillId="0" borderId="6" xfId="0" applyFont="1" applyBorder="1" applyAlignment="1">
      <alignment horizontal="center"/>
    </xf>
    <xf numFmtId="0" fontId="101" fillId="0" borderId="10" xfId="0" applyFont="1" applyBorder="1" applyAlignment="1">
      <alignment horizontal="right"/>
    </xf>
    <xf numFmtId="49" fontId="102" fillId="14" borderId="35" xfId="0" applyNumberFormat="1" applyFont="1" applyFill="1" applyBorder="1" applyAlignment="1">
      <alignment horizontal="center"/>
    </xf>
    <xf numFmtId="49" fontId="102" fillId="14" borderId="0" xfId="0" applyNumberFormat="1" applyFont="1" applyFill="1" applyBorder="1" applyAlignment="1">
      <alignment horizontal="center"/>
    </xf>
    <xf numFmtId="49" fontId="102" fillId="14" borderId="36" xfId="0" applyNumberFormat="1" applyFont="1" applyFill="1" applyBorder="1" applyAlignment="1">
      <alignment horizontal="center"/>
    </xf>
  </cellXfs>
  <cellStyles count="10">
    <cellStyle name="(Re)design" xfId="5" xr:uid="{00000000-0005-0000-0000-000000000000}"/>
    <cellStyle name="Complete" xfId="2" xr:uid="{00000000-0005-0000-0000-000001000000}"/>
    <cellStyle name="Failed/Stalled" xfId="7" xr:uid="{00000000-0005-0000-0000-000006000000}"/>
    <cellStyle name="In Progress" xfId="1" xr:uid="{00000000-0005-0000-0000-000002000000}"/>
    <cellStyle name="Incomplete" xfId="4" xr:uid="{00000000-0005-0000-0000-000003000000}"/>
    <cellStyle name="Input" xfId="8" builtinId="20"/>
    <cellStyle name="N/A" xfId="3" xr:uid="{00000000-0005-0000-0000-000004000000}"/>
    <cellStyle name="Normal" xfId="0" builtinId="0" customBuiltin="1"/>
    <cellStyle name="Output" xfId="9" builtinId="21"/>
    <cellStyle name="Waiting" xfId="6" xr:uid="{00000000-0005-0000-0000-000007000000}"/>
  </cellStyles>
  <dxfs count="2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  <alignment horizontal="general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none"/>
      </font>
      <alignment horizontal="general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</dxf>
    <dxf>
      <font>
        <b/>
      </font>
    </dxf>
    <dxf>
      <border diagonalUp="0" diagonalDown="0">
        <left/>
        <right/>
        <top/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name val="Consolas"/>
        <scheme val="none"/>
      </font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</border>
    </dxf>
    <dxf>
      <font>
        <i val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66"/>
      <color rgb="FFFFFF99"/>
      <color rgb="FF66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533400</xdr:colOff>
      <xdr:row>44</xdr:row>
      <xdr:rowOff>137160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458200" cy="751332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533400</xdr:colOff>
      <xdr:row>44</xdr:row>
      <xdr:rowOff>137160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458200" cy="751332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533400</xdr:colOff>
      <xdr:row>44</xdr:row>
      <xdr:rowOff>137160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458200" cy="751332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533400</xdr:colOff>
      <xdr:row>44</xdr:row>
      <xdr:rowOff>137160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458200" cy="751332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533400</xdr:colOff>
      <xdr:row>44</xdr:row>
      <xdr:rowOff>137160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458200" cy="751332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533400</xdr:colOff>
      <xdr:row>44</xdr:row>
      <xdr:rowOff>137160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458200" cy="751332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G406" totalsRowShown="0" headerRowDxfId="20">
  <autoFilter ref="A1:G406" xr:uid="{00000000-0009-0000-0100-000003000000}"/>
  <tableColumns count="7">
    <tableColumn id="1" xr3:uid="{00000000-0010-0000-0000-000001000000}" name="ID" dataDxfId="19"/>
    <tableColumn id="2" xr3:uid="{00000000-0010-0000-0000-000002000000}" name="Description"/>
    <tableColumn id="4" xr3:uid="{00000000-0010-0000-0000-000004000000}" name="Name" dataDxfId="18">
      <calculatedColumnFormula>CONCATENATE(A2," ",B2)</calculatedColumnFormula>
    </tableColumn>
    <tableColumn id="5" xr3:uid="{00000000-0010-0000-0000-000005000000}" name="Sequence" dataDxfId="17"/>
    <tableColumn id="7" xr3:uid="{00000000-0010-0000-0000-000007000000}" name="Notes"/>
    <tableColumn id="8" xr3:uid="{00000000-0010-0000-0000-000008000000}" name="Orderer"/>
    <tableColumn id="6" xr3:uid="{00000000-0010-0000-0000-000006000000}" name="Length">
      <calculatedColumnFormula>LEN(Table3[[#This Row],[Sequence]])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I386" totalsRowShown="0">
  <autoFilter ref="A1:I386" xr:uid="{00000000-0009-0000-0100-000001000000}"/>
  <tableColumns count="9">
    <tableColumn id="1" xr3:uid="{00000000-0010-0000-0100-000001000000}" name="Name" dataDxfId="16">
      <calculatedColumnFormula>Table3[[#This Row],[Name]]</calculatedColumnFormula>
    </tableColumn>
    <tableColumn id="2" xr3:uid="{00000000-0010-0000-0100-000002000000}" name="5' mod"/>
    <tableColumn id="3" xr3:uid="{00000000-0010-0000-0100-000003000000}" name="Sequence"/>
    <tableColumn id="4" xr3:uid="{00000000-0010-0000-0100-000004000000}" name="3' mod"/>
    <tableColumn id="5" xr3:uid="{00000000-0010-0000-0100-000005000000}" name="Scale"/>
    <tableColumn id="6" xr3:uid="{00000000-0010-0000-0100-000006000000}" name="Purification"/>
    <tableColumn id="7" xr3:uid="{00000000-0010-0000-0100-000007000000}" name="Format"/>
    <tableColumn id="8" xr3:uid="{00000000-0010-0000-0100-000008000000}" name="Concentration"/>
    <tableColumn id="9" xr3:uid="{00000000-0010-0000-0100-000009000000}" name="Number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5083CB7-6F0E-4B7F-8BDF-D6A4CD50776B}" name="Table6" displayName="Table6" ref="A1:F32" totalsRowShown="0" headerRowDxfId="15" dataDxfId="14" totalsRowDxfId="12" tableBorderDxfId="13">
  <autoFilter ref="A1:F32" xr:uid="{C882153D-3282-4873-AF0F-89FB21693B05}"/>
  <tableColumns count="6">
    <tableColumn id="1" xr3:uid="{6C3A7D1E-75E4-4CBB-991C-D297369DBE2A}" name="ID" dataDxfId="11" totalsRowDxfId="10"/>
    <tableColumn id="2" xr3:uid="{7AF3F17B-0A62-47BA-9766-D2E45DD89772}" name="Name" dataDxfId="9" totalsRowDxfId="8"/>
    <tableColumn id="3" xr3:uid="{52A30F59-B666-4B16-B6BD-DF72A9BDB4DE}" name="Linear DNAs" dataDxfId="7" totalsRowDxfId="6"/>
    <tableColumn id="4" xr3:uid="{0D4A866E-639E-46CD-A08C-F5319E8259B5}" name="Assemblies" dataDxfId="5" totalsRowDxfId="4"/>
    <tableColumn id="5" xr3:uid="{89018EA2-7C75-4C6C-B5C3-A0E0290A0BE1}" name="Sequencing" dataDxfId="3" totalsRowDxfId="2"/>
    <tableColumn id="6" xr3:uid="{B0A137D6-1495-44F2-8BA7-AF6F5B45CB5B}" name="Sorting" dataDxfId="1" totalsRowDxfId="0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/>
  </sheetPr>
  <dimension ref="A1:AU88"/>
  <sheetViews>
    <sheetView tabSelected="1" zoomScale="80" zoomScaleNormal="80" workbookViewId="0">
      <pane xSplit="8" ySplit="4" topLeftCell="I5" activePane="bottomRight" state="frozen"/>
      <selection activeCell="B1" sqref="B1"/>
      <selection pane="topRight" activeCell="E1" sqref="E1"/>
      <selection pane="bottomLeft" activeCell="B5" sqref="B5"/>
      <selection pane="bottomRight" activeCell="C7" sqref="C7"/>
    </sheetView>
  </sheetViews>
  <sheetFormatPr defaultColWidth="14.41796875" defaultRowHeight="15.75" customHeight="1" x14ac:dyDescent="0.5"/>
  <cols>
    <col min="1" max="1" width="6.3125" style="182" hidden="1" customWidth="1"/>
    <col min="2" max="2" width="7.7890625" style="109" customWidth="1"/>
    <col min="3" max="3" width="26.41796875" style="109" customWidth="1"/>
    <col min="4" max="4" width="5.89453125" style="109" customWidth="1"/>
    <col min="5" max="5" width="23.83984375" style="109" customWidth="1"/>
    <col min="6" max="6" width="7.41796875" style="109" customWidth="1"/>
    <col min="7" max="7" width="7.1015625" style="109" customWidth="1"/>
    <col min="8" max="8" width="2.68359375" style="109" hidden="1" customWidth="1"/>
    <col min="9" max="9" width="10.7890625" style="161" customWidth="1"/>
    <col min="10" max="15" width="10.5234375" style="161" customWidth="1"/>
    <col min="16" max="16" width="10.5234375" style="153" customWidth="1"/>
    <col min="17" max="17" width="1" style="183" hidden="1" customWidth="1"/>
    <col min="18" max="18" width="14.89453125" style="161" customWidth="1"/>
    <col min="19" max="19" width="26.20703125" style="161" customWidth="1"/>
    <col min="20" max="20" width="44.7890625" style="161" customWidth="1"/>
    <col min="21" max="21" width="65.68359375" style="161" customWidth="1"/>
    <col min="22" max="22" width="6.20703125" style="161" customWidth="1"/>
    <col min="23" max="23" width="3.5234375" style="212" customWidth="1"/>
    <col min="24" max="25" width="16.89453125" style="161" customWidth="1"/>
    <col min="26" max="26" width="11" style="255" customWidth="1"/>
    <col min="27" max="27" width="9.3125" style="161" customWidth="1"/>
    <col min="28" max="28" width="7.20703125" style="161" customWidth="1"/>
    <col min="29" max="29" width="10.7890625" style="161" customWidth="1"/>
    <col min="30" max="30" width="10" style="161" customWidth="1"/>
    <col min="31" max="31" width="8.1015625" style="161" customWidth="1"/>
    <col min="32" max="32" width="3" style="161" customWidth="1"/>
    <col min="33" max="33" width="10.7890625" style="161" customWidth="1"/>
    <col min="34" max="34" width="8.89453125" style="161"/>
    <col min="35" max="35" width="3.1015625" style="161" customWidth="1"/>
    <col min="36" max="36" width="11.41796875" style="160" customWidth="1"/>
    <col min="37" max="37" width="7" style="161" customWidth="1"/>
    <col min="38" max="38" width="7.5234375" style="161" customWidth="1"/>
    <col min="39" max="39" width="10.41796875" style="161" customWidth="1"/>
    <col min="40" max="40" width="5.20703125" style="161" customWidth="1"/>
    <col min="41" max="41" width="3.7890625" style="162" customWidth="1"/>
    <col min="42" max="42" width="10.20703125" style="161" customWidth="1"/>
    <col min="43" max="43" width="18.47265625" style="161" customWidth="1"/>
    <col min="44" max="44" width="47.578125" style="243" customWidth="1"/>
    <col min="45" max="45" width="64.41796875" style="243" customWidth="1"/>
    <col min="46" max="16384" width="14.41796875" style="161"/>
  </cols>
  <sheetData>
    <row r="1" spans="1:47" s="109" customFormat="1" ht="14.4" customHeight="1" x14ac:dyDescent="0.45">
      <c r="A1" s="301"/>
      <c r="B1" s="302"/>
      <c r="C1" s="310" t="s">
        <v>58</v>
      </c>
      <c r="D1" s="310"/>
      <c r="E1" s="310"/>
      <c r="F1" s="310"/>
      <c r="G1" s="310"/>
      <c r="H1" s="310"/>
      <c r="I1" s="106" t="s">
        <v>57</v>
      </c>
      <c r="J1" s="106" t="s">
        <v>272</v>
      </c>
      <c r="K1" s="106"/>
      <c r="L1" s="106" t="s">
        <v>56</v>
      </c>
      <c r="M1" s="107" t="s">
        <v>55</v>
      </c>
      <c r="N1" s="108" t="s">
        <v>54</v>
      </c>
      <c r="P1" s="110"/>
      <c r="Q1" s="110"/>
      <c r="R1" s="111"/>
      <c r="S1" s="111"/>
      <c r="T1" s="112" t="s">
        <v>53</v>
      </c>
      <c r="U1" s="112"/>
      <c r="V1" s="113"/>
      <c r="W1" s="214"/>
      <c r="X1" s="113"/>
      <c r="Y1" s="113"/>
      <c r="Z1" s="251"/>
      <c r="AJ1" s="114"/>
      <c r="AO1" s="115"/>
      <c r="AP1" s="240"/>
      <c r="AQ1" s="236"/>
      <c r="AR1" s="241"/>
      <c r="AS1" s="241"/>
    </row>
    <row r="2" spans="1:47" s="109" customFormat="1" ht="14.4" customHeight="1" x14ac:dyDescent="0.6">
      <c r="A2" s="302"/>
      <c r="B2" s="302"/>
      <c r="C2" s="309" t="s">
        <v>52</v>
      </c>
      <c r="D2" s="309"/>
      <c r="E2" s="309"/>
      <c r="F2" s="309"/>
      <c r="G2" s="309"/>
      <c r="H2" s="309"/>
      <c r="I2" s="116" t="s">
        <v>293</v>
      </c>
      <c r="J2" s="117" t="s">
        <v>51</v>
      </c>
      <c r="K2" s="118" t="s">
        <v>50</v>
      </c>
      <c r="L2" s="119" t="s">
        <v>49</v>
      </c>
      <c r="M2" s="120" t="s">
        <v>48</v>
      </c>
      <c r="N2" s="121" t="s">
        <v>288</v>
      </c>
      <c r="O2" s="112"/>
      <c r="P2" s="110"/>
      <c r="Q2" s="110"/>
      <c r="R2" s="111"/>
      <c r="S2" s="111"/>
      <c r="T2" s="112"/>
      <c r="U2" s="112"/>
      <c r="V2" s="113"/>
      <c r="W2" s="213"/>
      <c r="X2" s="113"/>
      <c r="Y2" s="113"/>
      <c r="Z2" s="311" t="s">
        <v>1084</v>
      </c>
      <c r="AA2" s="312"/>
      <c r="AB2" s="312"/>
      <c r="AC2" s="312"/>
      <c r="AD2" s="312"/>
      <c r="AE2" s="312"/>
      <c r="AF2" s="312"/>
      <c r="AG2" s="312"/>
      <c r="AH2" s="312"/>
      <c r="AI2" s="313"/>
      <c r="AJ2" s="311" t="s">
        <v>1657</v>
      </c>
      <c r="AK2" s="312"/>
      <c r="AL2" s="312"/>
      <c r="AM2" s="312"/>
      <c r="AN2" s="312"/>
      <c r="AO2" s="313"/>
      <c r="AP2" s="321" t="s">
        <v>1374</v>
      </c>
      <c r="AQ2" s="322"/>
      <c r="AR2" s="322"/>
      <c r="AS2" s="322"/>
      <c r="AT2" s="322"/>
      <c r="AU2" s="323"/>
    </row>
    <row r="3" spans="1:47" s="135" customFormat="1" ht="13.2" customHeight="1" x14ac:dyDescent="0.75">
      <c r="A3" s="303" t="s">
        <v>47</v>
      </c>
      <c r="B3" s="296" t="s">
        <v>216</v>
      </c>
      <c r="C3" s="296" t="s">
        <v>10</v>
      </c>
      <c r="D3" s="306" t="s">
        <v>7</v>
      </c>
      <c r="E3" s="296" t="s">
        <v>1373</v>
      </c>
      <c r="F3" s="296" t="s">
        <v>1094</v>
      </c>
      <c r="G3" s="296" t="s">
        <v>1079</v>
      </c>
      <c r="H3" s="296"/>
      <c r="I3" s="122" t="s">
        <v>46</v>
      </c>
      <c r="J3" s="122" t="s">
        <v>45</v>
      </c>
      <c r="K3" s="122" t="s">
        <v>44</v>
      </c>
      <c r="L3" s="122" t="s">
        <v>43</v>
      </c>
      <c r="M3" s="122" t="s">
        <v>42</v>
      </c>
      <c r="N3" s="122" t="s">
        <v>41</v>
      </c>
      <c r="O3" s="122" t="s">
        <v>40</v>
      </c>
      <c r="P3" s="123" t="s">
        <v>39</v>
      </c>
      <c r="Q3" s="124"/>
      <c r="R3" s="307" t="s">
        <v>38</v>
      </c>
      <c r="S3" s="308"/>
      <c r="T3" s="299" t="s">
        <v>37</v>
      </c>
      <c r="U3" s="300"/>
      <c r="V3" s="296"/>
      <c r="W3" s="314" t="s">
        <v>1195</v>
      </c>
      <c r="X3" s="296" t="s">
        <v>5</v>
      </c>
      <c r="Y3" s="296" t="s">
        <v>6</v>
      </c>
      <c r="Z3" s="252"/>
      <c r="AA3" s="125"/>
      <c r="AB3" s="320" t="s">
        <v>1655</v>
      </c>
      <c r="AC3" s="126"/>
      <c r="AD3" s="297" t="s">
        <v>1085</v>
      </c>
      <c r="AE3" s="298"/>
      <c r="AF3" s="127"/>
      <c r="AG3" s="128" t="s">
        <v>1080</v>
      </c>
      <c r="AH3" s="129">
        <v>4.9999999999999998E-8</v>
      </c>
      <c r="AI3" s="130" t="str">
        <f>CONCATENATE("M =",AH3*1000000000000000/1000000," fmol/µL")</f>
        <v>M =50 fmol/µL</v>
      </c>
      <c r="AJ3" s="131"/>
      <c r="AK3" s="131"/>
      <c r="AL3" s="131"/>
      <c r="AM3" s="132" t="s">
        <v>1086</v>
      </c>
      <c r="AN3" s="133">
        <v>15</v>
      </c>
      <c r="AO3" s="134" t="s">
        <v>1083</v>
      </c>
      <c r="AR3" s="242"/>
      <c r="AS3" s="242"/>
    </row>
    <row r="4" spans="1:47" s="135" customFormat="1" ht="25.8" customHeight="1" x14ac:dyDescent="0.5">
      <c r="A4" s="304"/>
      <c r="B4" s="305"/>
      <c r="C4" s="305"/>
      <c r="D4" s="305"/>
      <c r="E4" s="296"/>
      <c r="F4" s="296"/>
      <c r="G4" s="296"/>
      <c r="H4" s="296"/>
      <c r="I4" s="136" t="s">
        <v>289</v>
      </c>
      <c r="J4" s="136" t="s">
        <v>406</v>
      </c>
      <c r="K4" s="136" t="s">
        <v>36</v>
      </c>
      <c r="L4" s="136" t="s">
        <v>35</v>
      </c>
      <c r="M4" s="136" t="s">
        <v>34</v>
      </c>
      <c r="N4" s="136" t="s">
        <v>33</v>
      </c>
      <c r="O4" s="136" t="s">
        <v>5</v>
      </c>
      <c r="P4" s="137" t="s">
        <v>981</v>
      </c>
      <c r="Q4" s="138"/>
      <c r="R4" s="139" t="s">
        <v>1241</v>
      </c>
      <c r="S4" s="140" t="s">
        <v>32</v>
      </c>
      <c r="T4" s="235" t="s">
        <v>281</v>
      </c>
      <c r="U4" s="141" t="s">
        <v>31</v>
      </c>
      <c r="V4" s="296"/>
      <c r="W4" s="314"/>
      <c r="X4" s="296"/>
      <c r="Y4" s="296"/>
      <c r="Z4" s="253" t="s">
        <v>1656</v>
      </c>
      <c r="AA4" s="142" t="s">
        <v>1087</v>
      </c>
      <c r="AB4" s="143" t="s">
        <v>1654</v>
      </c>
      <c r="AC4" s="144" t="s">
        <v>1082</v>
      </c>
      <c r="AD4" s="145">
        <v>2.5000000000000001E-14</v>
      </c>
      <c r="AE4" s="146" t="str">
        <f>"mol*" &amp; CHAR(10) &amp; "=" &amp; AD4*1000000000000000 &amp; " fmol"</f>
        <v>mol*
=25 fmol</v>
      </c>
      <c r="AF4" s="147"/>
      <c r="AG4" s="148" t="s">
        <v>1081</v>
      </c>
      <c r="AH4" s="149" t="s">
        <v>1088</v>
      </c>
      <c r="AI4" s="150"/>
      <c r="AJ4" s="315" t="s">
        <v>1087</v>
      </c>
      <c r="AK4" s="315"/>
      <c r="AL4" s="151" t="s">
        <v>1089</v>
      </c>
      <c r="AM4" s="152" t="s">
        <v>1090</v>
      </c>
      <c r="AN4" s="133">
        <v>2.5</v>
      </c>
      <c r="AO4" s="134" t="s">
        <v>1083</v>
      </c>
      <c r="AR4" s="242"/>
      <c r="AS4" s="242"/>
    </row>
    <row r="5" spans="1:47" s="189" customFormat="1" ht="18.3" customHeight="1" x14ac:dyDescent="0.7">
      <c r="A5" s="188" t="s">
        <v>30</v>
      </c>
      <c r="B5" s="189" t="s">
        <v>29</v>
      </c>
      <c r="C5" s="190" t="s">
        <v>1658</v>
      </c>
      <c r="D5" s="189" t="s">
        <v>292</v>
      </c>
      <c r="E5" s="201" t="s">
        <v>1091</v>
      </c>
      <c r="F5" s="189" t="s">
        <v>0</v>
      </c>
      <c r="G5" s="189" t="s">
        <v>59</v>
      </c>
      <c r="H5" s="191" t="s">
        <v>76</v>
      </c>
      <c r="I5" s="192"/>
      <c r="J5" s="193" t="s">
        <v>28</v>
      </c>
      <c r="K5" s="193" t="s">
        <v>290</v>
      </c>
      <c r="L5" s="193" t="s">
        <v>285</v>
      </c>
      <c r="M5" s="193" t="s">
        <v>286</v>
      </c>
      <c r="N5" s="194" t="s">
        <v>27</v>
      </c>
      <c r="O5" s="194" t="s">
        <v>287</v>
      </c>
      <c r="P5" s="195"/>
      <c r="Q5" s="196"/>
      <c r="R5" s="189" t="s">
        <v>26</v>
      </c>
      <c r="S5" s="197" t="s">
        <v>407</v>
      </c>
      <c r="T5" s="189" t="s">
        <v>399</v>
      </c>
      <c r="U5" s="189" t="s">
        <v>874</v>
      </c>
      <c r="V5" s="198"/>
      <c r="W5" s="225" t="str">
        <f>_xlfn.CONCAT(B5," ",C5," (",D5,")")</f>
        <v>pSPB### Hs.SULT1A1 part (EXAMPLE) (34a)</v>
      </c>
      <c r="X5" s="256" t="s">
        <v>1093</v>
      </c>
      <c r="Y5" s="257">
        <v>3000</v>
      </c>
      <c r="Z5" s="258">
        <v>200</v>
      </c>
      <c r="AA5" s="259"/>
      <c r="AB5" s="260"/>
      <c r="AC5" s="261">
        <f>IF($AB5="",IF(OR($Y5="",$Z5=""),"",($Z5*10^-9/10^-6)/($Y5*615.88)*10^9),$AB5)</f>
        <v>108.24619514624062</v>
      </c>
      <c r="AD5" s="262">
        <f>IF($AC5="","",AD$4/($AC5*10^-9)*10^6)</f>
        <v>0.23095499999999997</v>
      </c>
      <c r="AE5" s="263" t="str">
        <f>IF(AD5="","","µL")</f>
        <v>µL</v>
      </c>
      <c r="AF5" s="264"/>
      <c r="AG5" s="265">
        <f>IF($AC5="","",$AC5*10^-9/AH$3)</f>
        <v>2.1649239029248126</v>
      </c>
      <c r="AH5" s="266" t="str">
        <f>IF(AG5="","",IF(AG5&lt;1.05,IF(AG5&gt;0.95,"≈0","Too dilute"),IF(AA5="","",(AG5*AA5)-AA5)))</f>
        <v/>
      </c>
      <c r="AI5" s="267"/>
      <c r="AJ5" s="268">
        <f>IF($AB5="",IF(OR($Y5="",$Z5=""),"",IF($Y5&lt;6000,500/$Z5,IF($Y5&lt;=10000,800/$Z5,1000/$Z5))),IF($Y5&lt;6000,(500/($Y5*617.89*$AB5))*10^6,IF($Y5&lt;=10000,(800/($Y5*617.89*$AB5))*10^6,(1000/($Y5*617.89*$AB5))*10^6)))</f>
        <v>2.5</v>
      </c>
      <c r="AK5" s="269" t="str">
        <f>IF(AJ5="","","µL")</f>
        <v>µL</v>
      </c>
      <c r="AL5" s="268">
        <f>IF(AJ5="","",AN$3-AN$4-AJ5)</f>
        <v>10</v>
      </c>
      <c r="AM5" s="272"/>
      <c r="AN5" s="199"/>
      <c r="AO5" s="200"/>
      <c r="AP5" s="279" t="str">
        <f>B5</f>
        <v>pSPB###</v>
      </c>
      <c r="AQ5" s="279" t="str">
        <f>C5</f>
        <v>Hs.SULT1A1 part (EXAMPLE)</v>
      </c>
      <c r="AR5" s="280" t="str">
        <f>T5</f>
        <v>ER22/23 on pSPB152, 520bp, 60°, 10s.</v>
      </c>
      <c r="AS5" s="278" t="str">
        <f>U5</f>
        <v>BsaI ChlR:: pcr1AMF351, pcr2AMF351, pYTK001</v>
      </c>
      <c r="AT5" s="238" t="str">
        <f>R5</f>
        <v>AW38/39</v>
      </c>
    </row>
    <row r="6" spans="1:47" ht="14.4" x14ac:dyDescent="0.55000000000000004">
      <c r="A6" s="156"/>
      <c r="B6" s="111"/>
      <c r="C6" s="111"/>
      <c r="D6" s="111"/>
      <c r="E6" s="111"/>
      <c r="F6" s="111"/>
      <c r="G6" s="111"/>
      <c r="H6" s="153" t="s">
        <v>76</v>
      </c>
      <c r="I6" s="157"/>
      <c r="J6" s="157"/>
      <c r="K6" s="157"/>
      <c r="L6" s="157"/>
      <c r="M6" s="157"/>
      <c r="N6" s="157"/>
      <c r="O6" s="157"/>
      <c r="P6" s="154"/>
      <c r="Q6" s="155"/>
      <c r="R6" s="158"/>
      <c r="S6" s="187"/>
      <c r="T6" s="158"/>
      <c r="U6" s="158"/>
      <c r="V6" s="159"/>
      <c r="W6" s="153"/>
      <c r="X6" s="206"/>
      <c r="Y6" s="111"/>
      <c r="Z6" s="270"/>
      <c r="AA6" s="271"/>
      <c r="AB6" s="271"/>
      <c r="AC6" s="261" t="str">
        <f t="shared" ref="AC6:AC21" si="0">IF($AB6="",IF(OR($Y6="",$Z6=""),"",($Z6*10^-9/10^-6)/($Y6*615.88)*10^9),$AB6)</f>
        <v/>
      </c>
      <c r="AD6" s="262" t="str">
        <f t="shared" ref="AD6:AD69" si="1">IF($AC6="","",AD$4/($AC6*10^-9)*10^6)</f>
        <v/>
      </c>
      <c r="AE6" s="263" t="str">
        <f t="shared" ref="AE6:AE69" si="2">IF(AD6="","","µL")</f>
        <v/>
      </c>
      <c r="AF6" s="264"/>
      <c r="AG6" s="265" t="str">
        <f t="shared" ref="AG6:AG69" si="3">IF($AC6="","",$AC6*10^-9/AH$3)</f>
        <v/>
      </c>
      <c r="AH6" s="266" t="str">
        <f>IF(AG6="","",IF(AG6&lt;1.05,IF(AG6&gt;0.95,"≈0","Too dilute"),IF(AA6="","",(AG6*AA6)-AA6)))</f>
        <v/>
      </c>
      <c r="AI6" s="267"/>
      <c r="AJ6" s="268" t="str">
        <f t="shared" ref="AJ6:AJ28" si="4">IF($AB6="",IF(OR($Y6="",$Z6=""),"",IF($Y6&lt;6000,500/$Z6,IF($Y6&lt;=10000,800/$Z6,1000/$Z6))),IF($Y6&lt;6000,(500/($Y6*617.89*$AB6))*10^6,IF($Y6&lt;=10000,(800/($Y6*617.89*$AB6))*10^6,(1000/($Y6*617.89*$AB6))*10^6)))</f>
        <v/>
      </c>
      <c r="AK6" s="269" t="str">
        <f t="shared" ref="AK6:AK28" si="5">IF(AJ6="","","µL")</f>
        <v/>
      </c>
      <c r="AL6" s="268" t="str">
        <f>IF(AJ6="","",AN$3-AN$4-AJ6)</f>
        <v/>
      </c>
      <c r="AM6" s="273"/>
      <c r="AP6" s="279"/>
      <c r="AQ6" s="279"/>
      <c r="AR6" s="280"/>
      <c r="AS6" s="278"/>
      <c r="AT6" s="159"/>
    </row>
    <row r="7" spans="1:47" s="153" customFormat="1" ht="14.4" x14ac:dyDescent="0.55000000000000004">
      <c r="A7" s="163"/>
      <c r="B7" s="295" t="s">
        <v>1572</v>
      </c>
      <c r="C7" s="203"/>
      <c r="D7" s="165"/>
      <c r="E7" s="164"/>
      <c r="F7" s="164"/>
      <c r="G7" s="164"/>
      <c r="H7" s="153" t="s">
        <v>76</v>
      </c>
      <c r="I7" s="185"/>
      <c r="J7" s="185"/>
      <c r="K7" s="185"/>
      <c r="L7" s="185"/>
      <c r="M7" s="185"/>
      <c r="N7" s="185"/>
      <c r="O7" s="185"/>
      <c r="P7" s="185"/>
      <c r="Q7" s="155"/>
      <c r="R7" s="167"/>
      <c r="S7" s="159" t="str">
        <f>digest(X7,"NotI")</f>
        <v>NotI: 0 uncut</v>
      </c>
      <c r="T7" s="168"/>
      <c r="U7" s="168"/>
      <c r="V7" s="169"/>
      <c r="W7" s="226"/>
      <c r="X7" s="207"/>
      <c r="Y7" s="250">
        <f t="shared" ref="Y7:Y38" si="6">IF(X7=" ","",LEN(X7))</f>
        <v>0</v>
      </c>
      <c r="Z7" s="254"/>
      <c r="AA7" s="219"/>
      <c r="AB7" s="219"/>
      <c r="AC7" s="220" t="str">
        <f t="shared" si="0"/>
        <v/>
      </c>
      <c r="AD7" s="221" t="str">
        <f t="shared" si="1"/>
        <v/>
      </c>
      <c r="AE7" s="222" t="str">
        <f t="shared" si="2"/>
        <v/>
      </c>
      <c r="AF7" s="204"/>
      <c r="AG7" s="220" t="str">
        <f t="shared" si="3"/>
        <v/>
      </c>
      <c r="AH7" s="223" t="str">
        <f>IF(AG7="","",IF(AG7&lt;1.05,IF(AG7&gt;0.95,"≈0","Too dilute"),IF(AA7="","",(AG7*AA7)-AA7)))</f>
        <v/>
      </c>
      <c r="AI7" s="205"/>
      <c r="AJ7" s="221" t="str">
        <f t="shared" si="4"/>
        <v/>
      </c>
      <c r="AK7" s="222" t="str">
        <f t="shared" si="5"/>
        <v/>
      </c>
      <c r="AL7" s="221" t="str">
        <f>IF(AJ7="","",AN$3-AN$4-AJ7)</f>
        <v/>
      </c>
      <c r="AM7" s="274"/>
      <c r="AO7" s="162"/>
      <c r="AP7" s="279" t="str">
        <f>B7</f>
        <v>pIG001</v>
      </c>
      <c r="AQ7" s="279">
        <f>C7</f>
        <v>0</v>
      </c>
      <c r="AR7" s="280">
        <f>T7</f>
        <v>0</v>
      </c>
      <c r="AS7" s="278">
        <f>U7</f>
        <v>0</v>
      </c>
      <c r="AT7" s="238">
        <f>R7</f>
        <v>0</v>
      </c>
    </row>
    <row r="8" spans="1:47" s="153" customFormat="1" ht="14.4" x14ac:dyDescent="0.55000000000000004">
      <c r="A8" s="163"/>
      <c r="B8" s="295" t="s">
        <v>1573</v>
      </c>
      <c r="C8" s="203"/>
      <c r="D8" s="165"/>
      <c r="E8" s="164"/>
      <c r="F8" s="164"/>
      <c r="G8" s="164"/>
      <c r="H8" s="153" t="s">
        <v>76</v>
      </c>
      <c r="I8" s="185"/>
      <c r="J8" s="185"/>
      <c r="K8" s="185"/>
      <c r="L8" s="185"/>
      <c r="M8" s="185"/>
      <c r="N8" s="185"/>
      <c r="O8" s="185"/>
      <c r="P8" s="185"/>
      <c r="Q8" s="155"/>
      <c r="R8" s="167"/>
      <c r="S8" s="159" t="str">
        <f t="shared" ref="S8:S71" si="7">digest(X8,"NotI")</f>
        <v>NotI: 0 uncut</v>
      </c>
      <c r="T8" s="168"/>
      <c r="U8" s="168"/>
      <c r="V8" s="169"/>
      <c r="W8" s="226"/>
      <c r="X8" s="207"/>
      <c r="Y8" s="250">
        <f t="shared" si="6"/>
        <v>0</v>
      </c>
      <c r="Z8" s="254"/>
      <c r="AA8" s="219"/>
      <c r="AB8" s="219"/>
      <c r="AC8" s="220" t="str">
        <f t="shared" si="0"/>
        <v/>
      </c>
      <c r="AD8" s="221" t="str">
        <f t="shared" si="1"/>
        <v/>
      </c>
      <c r="AE8" s="222" t="str">
        <f t="shared" si="2"/>
        <v/>
      </c>
      <c r="AF8" s="204"/>
      <c r="AG8" s="220" t="str">
        <f t="shared" si="3"/>
        <v/>
      </c>
      <c r="AH8" s="223" t="str">
        <f t="shared" ref="AH8:AH71" si="8">IF(AG8="","",IF(AG8&lt;1.05,IF(AG8&gt;0.95,"≈0","Too dilute"),IF(AA8="","",(AG8*AA8)-AA8)))</f>
        <v/>
      </c>
      <c r="AI8" s="205"/>
      <c r="AJ8" s="221" t="str">
        <f t="shared" si="4"/>
        <v/>
      </c>
      <c r="AK8" s="222" t="str">
        <f t="shared" si="5"/>
        <v/>
      </c>
      <c r="AL8" s="221" t="str">
        <f t="shared" ref="AL8:AL28" si="9">IF(AJ8="","",AN$3-AN$4-AJ8)</f>
        <v/>
      </c>
      <c r="AM8" s="274"/>
      <c r="AO8" s="162"/>
      <c r="AP8" s="279" t="str">
        <f t="shared" ref="AP8:AP71" si="10">B8</f>
        <v>pIG002</v>
      </c>
      <c r="AQ8" s="279">
        <f t="shared" ref="AQ8:AQ71" si="11">C8</f>
        <v>0</v>
      </c>
      <c r="AR8" s="280">
        <f t="shared" ref="AR8:AR71" si="12">T8</f>
        <v>0</v>
      </c>
      <c r="AS8" s="278">
        <f t="shared" ref="AS8:AS71" si="13">U8</f>
        <v>0</v>
      </c>
      <c r="AT8" s="238">
        <f t="shared" ref="AT8:AT71" si="14">R8</f>
        <v>0</v>
      </c>
    </row>
    <row r="9" spans="1:47" s="153" customFormat="1" ht="14.4" x14ac:dyDescent="0.55000000000000004">
      <c r="A9" s="163"/>
      <c r="B9" s="295" t="s">
        <v>1574</v>
      </c>
      <c r="C9" s="105"/>
      <c r="D9" s="165"/>
      <c r="E9" s="170"/>
      <c r="F9" s="164"/>
      <c r="G9" s="164"/>
      <c r="H9" s="153" t="s">
        <v>76</v>
      </c>
      <c r="I9" s="185"/>
      <c r="J9" s="185"/>
      <c r="K9" s="185"/>
      <c r="L9" s="185"/>
      <c r="M9" s="185"/>
      <c r="N9" s="185"/>
      <c r="O9" s="185"/>
      <c r="P9" s="185"/>
      <c r="Q9" s="155"/>
      <c r="R9" s="167"/>
      <c r="S9" s="159" t="str">
        <f t="shared" si="7"/>
        <v>NotI: 0 uncut</v>
      </c>
      <c r="T9" s="224"/>
      <c r="U9" s="168"/>
      <c r="V9" s="169"/>
      <c r="W9" s="226"/>
      <c r="X9" s="207"/>
      <c r="Y9" s="250">
        <f t="shared" si="6"/>
        <v>0</v>
      </c>
      <c r="Z9" s="254"/>
      <c r="AA9" s="219"/>
      <c r="AB9" s="219"/>
      <c r="AC9" s="220" t="str">
        <f t="shared" si="0"/>
        <v/>
      </c>
      <c r="AD9" s="221" t="str">
        <f t="shared" si="1"/>
        <v/>
      </c>
      <c r="AE9" s="222" t="str">
        <f t="shared" si="2"/>
        <v/>
      </c>
      <c r="AF9" s="204"/>
      <c r="AG9" s="220" t="str">
        <f t="shared" si="3"/>
        <v/>
      </c>
      <c r="AH9" s="223" t="str">
        <f t="shared" si="8"/>
        <v/>
      </c>
      <c r="AI9" s="205"/>
      <c r="AJ9" s="221" t="str">
        <f t="shared" si="4"/>
        <v/>
      </c>
      <c r="AK9" s="222" t="str">
        <f t="shared" si="5"/>
        <v/>
      </c>
      <c r="AL9" s="221" t="str">
        <f t="shared" si="9"/>
        <v/>
      </c>
      <c r="AM9" s="274"/>
      <c r="AO9" s="162"/>
      <c r="AP9" s="279" t="str">
        <f t="shared" si="10"/>
        <v>pIG003</v>
      </c>
      <c r="AQ9" s="279">
        <f t="shared" si="11"/>
        <v>0</v>
      </c>
      <c r="AR9" s="280">
        <f t="shared" si="12"/>
        <v>0</v>
      </c>
      <c r="AS9" s="278">
        <f t="shared" si="13"/>
        <v>0</v>
      </c>
      <c r="AT9" s="238">
        <f t="shared" si="14"/>
        <v>0</v>
      </c>
    </row>
    <row r="10" spans="1:47" s="153" customFormat="1" ht="14.4" x14ac:dyDescent="0.55000000000000004">
      <c r="A10" s="163"/>
      <c r="B10" s="295" t="s">
        <v>1575</v>
      </c>
      <c r="C10" s="105"/>
      <c r="D10" s="165"/>
      <c r="E10" s="170"/>
      <c r="F10" s="164"/>
      <c r="G10" s="164"/>
      <c r="H10" s="153" t="s">
        <v>76</v>
      </c>
      <c r="I10" s="185"/>
      <c r="J10" s="185"/>
      <c r="K10" s="185"/>
      <c r="L10" s="185"/>
      <c r="M10" s="185"/>
      <c r="N10" s="185"/>
      <c r="O10" s="185"/>
      <c r="P10" s="185"/>
      <c r="Q10" s="155"/>
      <c r="R10" s="167"/>
      <c r="S10" s="159" t="str">
        <f t="shared" si="7"/>
        <v>NotI: 0 uncut</v>
      </c>
      <c r="T10" s="168"/>
      <c r="U10" s="168"/>
      <c r="V10" s="169"/>
      <c r="W10" s="226"/>
      <c r="X10" s="207"/>
      <c r="Y10" s="250">
        <f t="shared" si="6"/>
        <v>0</v>
      </c>
      <c r="Z10" s="254"/>
      <c r="AA10" s="219"/>
      <c r="AB10" s="219"/>
      <c r="AC10" s="220" t="str">
        <f t="shared" si="0"/>
        <v/>
      </c>
      <c r="AD10" s="221" t="str">
        <f t="shared" si="1"/>
        <v/>
      </c>
      <c r="AE10" s="222" t="str">
        <f t="shared" si="2"/>
        <v/>
      </c>
      <c r="AF10" s="204"/>
      <c r="AG10" s="220" t="str">
        <f t="shared" si="3"/>
        <v/>
      </c>
      <c r="AH10" s="223" t="str">
        <f t="shared" si="8"/>
        <v/>
      </c>
      <c r="AI10" s="205"/>
      <c r="AJ10" s="221" t="str">
        <f t="shared" si="4"/>
        <v/>
      </c>
      <c r="AK10" s="222" t="str">
        <f t="shared" si="5"/>
        <v/>
      </c>
      <c r="AL10" s="221" t="str">
        <f t="shared" si="9"/>
        <v/>
      </c>
      <c r="AM10" s="274"/>
      <c r="AO10" s="162"/>
      <c r="AP10" s="279" t="str">
        <f t="shared" si="10"/>
        <v>pIG004</v>
      </c>
      <c r="AQ10" s="279">
        <f t="shared" si="11"/>
        <v>0</v>
      </c>
      <c r="AR10" s="280">
        <f t="shared" si="12"/>
        <v>0</v>
      </c>
      <c r="AS10" s="278">
        <f t="shared" si="13"/>
        <v>0</v>
      </c>
      <c r="AT10" s="238">
        <f t="shared" si="14"/>
        <v>0</v>
      </c>
    </row>
    <row r="11" spans="1:47" s="153" customFormat="1" ht="14.4" x14ac:dyDescent="0.55000000000000004">
      <c r="A11" s="163"/>
      <c r="B11" s="295" t="s">
        <v>1576</v>
      </c>
      <c r="C11" s="105"/>
      <c r="D11" s="165"/>
      <c r="E11" s="164"/>
      <c r="F11" s="164"/>
      <c r="G11" s="164"/>
      <c r="H11" s="153" t="s">
        <v>76</v>
      </c>
      <c r="I11" s="185"/>
      <c r="J11" s="185"/>
      <c r="K11" s="185"/>
      <c r="L11" s="185"/>
      <c r="M11" s="185"/>
      <c r="N11" s="185"/>
      <c r="O11" s="185"/>
      <c r="P11" s="185"/>
      <c r="Q11" s="155"/>
      <c r="R11" s="167"/>
      <c r="S11" s="159" t="str">
        <f t="shared" si="7"/>
        <v>NotI: 0 uncut</v>
      </c>
      <c r="T11" s="171"/>
      <c r="U11" s="168"/>
      <c r="V11" s="169"/>
      <c r="W11" s="226"/>
      <c r="X11" s="207"/>
      <c r="Y11" s="250">
        <f t="shared" si="6"/>
        <v>0</v>
      </c>
      <c r="Z11" s="254"/>
      <c r="AA11" s="219"/>
      <c r="AB11" s="219"/>
      <c r="AC11" s="220" t="str">
        <f t="shared" si="0"/>
        <v/>
      </c>
      <c r="AD11" s="221" t="str">
        <f t="shared" si="1"/>
        <v/>
      </c>
      <c r="AE11" s="222" t="str">
        <f t="shared" si="2"/>
        <v/>
      </c>
      <c r="AF11" s="204"/>
      <c r="AG11" s="220" t="str">
        <f t="shared" si="3"/>
        <v/>
      </c>
      <c r="AH11" s="223" t="str">
        <f t="shared" si="8"/>
        <v/>
      </c>
      <c r="AI11" s="205"/>
      <c r="AJ11" s="221" t="str">
        <f t="shared" si="4"/>
        <v/>
      </c>
      <c r="AK11" s="222" t="str">
        <f t="shared" si="5"/>
        <v/>
      </c>
      <c r="AL11" s="221" t="str">
        <f t="shared" si="9"/>
        <v/>
      </c>
      <c r="AM11" s="274"/>
      <c r="AO11" s="162"/>
      <c r="AP11" s="279" t="str">
        <f t="shared" si="10"/>
        <v>pIG005</v>
      </c>
      <c r="AQ11" s="279">
        <f t="shared" si="11"/>
        <v>0</v>
      </c>
      <c r="AR11" s="280">
        <f t="shared" si="12"/>
        <v>0</v>
      </c>
      <c r="AS11" s="278">
        <f t="shared" si="13"/>
        <v>0</v>
      </c>
      <c r="AT11" s="238">
        <f t="shared" si="14"/>
        <v>0</v>
      </c>
    </row>
    <row r="12" spans="1:47" s="153" customFormat="1" ht="14.4" x14ac:dyDescent="0.55000000000000004">
      <c r="A12" s="163"/>
      <c r="B12" s="295" t="s">
        <v>1577</v>
      </c>
      <c r="C12" s="105"/>
      <c r="D12" s="165"/>
      <c r="E12" s="164"/>
      <c r="F12" s="164"/>
      <c r="G12" s="164"/>
      <c r="H12" s="153" t="s">
        <v>76</v>
      </c>
      <c r="I12" s="185"/>
      <c r="J12" s="185"/>
      <c r="K12" s="185"/>
      <c r="L12" s="185"/>
      <c r="M12" s="185"/>
      <c r="N12" s="185"/>
      <c r="O12" s="185"/>
      <c r="P12" s="185"/>
      <c r="Q12" s="155"/>
      <c r="R12" s="167"/>
      <c r="S12" s="159" t="str">
        <f t="shared" si="7"/>
        <v>NotI: 0 uncut</v>
      </c>
      <c r="T12" s="168"/>
      <c r="U12" s="168"/>
      <c r="V12" s="169"/>
      <c r="W12" s="226"/>
      <c r="X12" s="207"/>
      <c r="Y12" s="250">
        <f t="shared" si="6"/>
        <v>0</v>
      </c>
      <c r="Z12" s="254"/>
      <c r="AA12" s="219"/>
      <c r="AB12" s="219"/>
      <c r="AC12" s="220" t="str">
        <f t="shared" si="0"/>
        <v/>
      </c>
      <c r="AD12" s="221" t="str">
        <f t="shared" si="1"/>
        <v/>
      </c>
      <c r="AE12" s="222" t="str">
        <f t="shared" si="2"/>
        <v/>
      </c>
      <c r="AF12" s="204"/>
      <c r="AG12" s="220" t="str">
        <f t="shared" si="3"/>
        <v/>
      </c>
      <c r="AH12" s="223" t="str">
        <f t="shared" si="8"/>
        <v/>
      </c>
      <c r="AI12" s="205"/>
      <c r="AJ12" s="221" t="str">
        <f t="shared" si="4"/>
        <v/>
      </c>
      <c r="AK12" s="222" t="str">
        <f t="shared" si="5"/>
        <v/>
      </c>
      <c r="AL12" s="221" t="str">
        <f t="shared" si="9"/>
        <v/>
      </c>
      <c r="AM12" s="274"/>
      <c r="AO12" s="162"/>
      <c r="AP12" s="279" t="str">
        <f t="shared" si="10"/>
        <v>pIG006</v>
      </c>
      <c r="AQ12" s="279">
        <f t="shared" si="11"/>
        <v>0</v>
      </c>
      <c r="AR12" s="280">
        <f t="shared" si="12"/>
        <v>0</v>
      </c>
      <c r="AS12" s="278">
        <f t="shared" si="13"/>
        <v>0</v>
      </c>
      <c r="AT12" s="238">
        <f t="shared" si="14"/>
        <v>0</v>
      </c>
    </row>
    <row r="13" spans="1:47" s="153" customFormat="1" ht="14.4" x14ac:dyDescent="0.55000000000000004">
      <c r="A13" s="163"/>
      <c r="B13" s="295" t="s">
        <v>1578</v>
      </c>
      <c r="C13" s="203"/>
      <c r="D13" s="165"/>
      <c r="E13" s="164"/>
      <c r="F13" s="164"/>
      <c r="G13" s="164"/>
      <c r="H13" s="153" t="s">
        <v>76</v>
      </c>
      <c r="I13" s="185"/>
      <c r="J13" s="185"/>
      <c r="K13" s="185"/>
      <c r="L13" s="185"/>
      <c r="M13" s="185"/>
      <c r="N13" s="185"/>
      <c r="O13" s="185"/>
      <c r="P13" s="185"/>
      <c r="Q13" s="155"/>
      <c r="R13" s="167"/>
      <c r="S13" s="159" t="str">
        <f t="shared" si="7"/>
        <v>NotI: 0 uncut</v>
      </c>
      <c r="T13" s="168"/>
      <c r="U13" s="168"/>
      <c r="V13" s="169"/>
      <c r="W13" s="226"/>
      <c r="X13" s="207"/>
      <c r="Y13" s="250">
        <f t="shared" si="6"/>
        <v>0</v>
      </c>
      <c r="Z13" s="254"/>
      <c r="AA13" s="219"/>
      <c r="AB13" s="219"/>
      <c r="AC13" s="220" t="str">
        <f t="shared" si="0"/>
        <v/>
      </c>
      <c r="AD13" s="221" t="str">
        <f t="shared" si="1"/>
        <v/>
      </c>
      <c r="AE13" s="222" t="str">
        <f t="shared" si="2"/>
        <v/>
      </c>
      <c r="AF13" s="204"/>
      <c r="AG13" s="220" t="str">
        <f t="shared" si="3"/>
        <v/>
      </c>
      <c r="AH13" s="223" t="str">
        <f t="shared" si="8"/>
        <v/>
      </c>
      <c r="AI13" s="205"/>
      <c r="AJ13" s="221" t="str">
        <f t="shared" si="4"/>
        <v/>
      </c>
      <c r="AK13" s="222" t="str">
        <f t="shared" si="5"/>
        <v/>
      </c>
      <c r="AL13" s="221" t="str">
        <f t="shared" si="9"/>
        <v/>
      </c>
      <c r="AM13" s="274"/>
      <c r="AO13" s="162"/>
      <c r="AP13" s="279" t="str">
        <f t="shared" si="10"/>
        <v>pIG007</v>
      </c>
      <c r="AQ13" s="279">
        <f t="shared" si="11"/>
        <v>0</v>
      </c>
      <c r="AR13" s="280">
        <f t="shared" si="12"/>
        <v>0</v>
      </c>
      <c r="AS13" s="278">
        <f t="shared" si="13"/>
        <v>0</v>
      </c>
      <c r="AT13" s="238">
        <f t="shared" si="14"/>
        <v>0</v>
      </c>
    </row>
    <row r="14" spans="1:47" s="153" customFormat="1" ht="14.4" x14ac:dyDescent="0.55000000000000004">
      <c r="A14" s="163"/>
      <c r="B14" s="295" t="s">
        <v>1579</v>
      </c>
      <c r="C14" s="105"/>
      <c r="D14" s="165"/>
      <c r="E14" s="170"/>
      <c r="F14" s="164"/>
      <c r="G14" s="164"/>
      <c r="H14" s="153" t="s">
        <v>76</v>
      </c>
      <c r="I14" s="185"/>
      <c r="J14" s="185"/>
      <c r="K14" s="185"/>
      <c r="L14" s="185"/>
      <c r="M14" s="185"/>
      <c r="N14" s="185"/>
      <c r="O14" s="185"/>
      <c r="P14" s="185"/>
      <c r="Q14" s="155"/>
      <c r="R14" s="167"/>
      <c r="S14" s="159" t="str">
        <f t="shared" si="7"/>
        <v>NotI: 0 uncut</v>
      </c>
      <c r="T14" s="168"/>
      <c r="U14" s="168"/>
      <c r="V14" s="169"/>
      <c r="W14" s="226"/>
      <c r="X14" s="207"/>
      <c r="Y14" s="250">
        <f t="shared" si="6"/>
        <v>0</v>
      </c>
      <c r="Z14" s="254"/>
      <c r="AA14" s="219"/>
      <c r="AB14" s="219"/>
      <c r="AC14" s="220" t="str">
        <f t="shared" si="0"/>
        <v/>
      </c>
      <c r="AD14" s="221" t="str">
        <f t="shared" si="1"/>
        <v/>
      </c>
      <c r="AE14" s="222" t="str">
        <f t="shared" si="2"/>
        <v/>
      </c>
      <c r="AF14" s="204"/>
      <c r="AG14" s="220" t="str">
        <f t="shared" si="3"/>
        <v/>
      </c>
      <c r="AH14" s="223" t="str">
        <f t="shared" si="8"/>
        <v/>
      </c>
      <c r="AI14" s="205"/>
      <c r="AJ14" s="221" t="str">
        <f t="shared" si="4"/>
        <v/>
      </c>
      <c r="AK14" s="222" t="str">
        <f t="shared" si="5"/>
        <v/>
      </c>
      <c r="AL14" s="221" t="str">
        <f t="shared" si="9"/>
        <v/>
      </c>
      <c r="AM14" s="274"/>
      <c r="AO14" s="162"/>
      <c r="AP14" s="279" t="str">
        <f t="shared" si="10"/>
        <v>pIG008</v>
      </c>
      <c r="AQ14" s="279">
        <f t="shared" si="11"/>
        <v>0</v>
      </c>
      <c r="AR14" s="280">
        <f t="shared" si="12"/>
        <v>0</v>
      </c>
      <c r="AS14" s="278">
        <f t="shared" si="13"/>
        <v>0</v>
      </c>
      <c r="AT14" s="238">
        <f t="shared" si="14"/>
        <v>0</v>
      </c>
    </row>
    <row r="15" spans="1:47" s="153" customFormat="1" ht="14.4" x14ac:dyDescent="0.55000000000000004">
      <c r="A15" s="163"/>
      <c r="B15" s="295" t="s">
        <v>1580</v>
      </c>
      <c r="C15" s="105"/>
      <c r="D15" s="165"/>
      <c r="E15" s="170"/>
      <c r="F15" s="164"/>
      <c r="G15" s="164"/>
      <c r="H15" s="153" t="s">
        <v>76</v>
      </c>
      <c r="I15" s="185"/>
      <c r="J15" s="185"/>
      <c r="K15" s="185"/>
      <c r="L15" s="185"/>
      <c r="M15" s="185"/>
      <c r="N15" s="185"/>
      <c r="O15" s="185"/>
      <c r="P15" s="185"/>
      <c r="Q15" s="155"/>
      <c r="R15" s="167"/>
      <c r="S15" s="159" t="str">
        <f t="shared" si="7"/>
        <v>NotI: 0 uncut</v>
      </c>
      <c r="T15" s="168"/>
      <c r="U15" s="168"/>
      <c r="V15" s="169"/>
      <c r="W15" s="226"/>
      <c r="X15" s="207"/>
      <c r="Y15" s="250">
        <f t="shared" si="6"/>
        <v>0</v>
      </c>
      <c r="Z15" s="254"/>
      <c r="AA15" s="219"/>
      <c r="AB15" s="219"/>
      <c r="AC15" s="220" t="str">
        <f t="shared" si="0"/>
        <v/>
      </c>
      <c r="AD15" s="221" t="str">
        <f t="shared" si="1"/>
        <v/>
      </c>
      <c r="AE15" s="222" t="str">
        <f t="shared" si="2"/>
        <v/>
      </c>
      <c r="AF15" s="204"/>
      <c r="AG15" s="220" t="str">
        <f t="shared" si="3"/>
        <v/>
      </c>
      <c r="AH15" s="223" t="str">
        <f t="shared" si="8"/>
        <v/>
      </c>
      <c r="AI15" s="205"/>
      <c r="AJ15" s="221" t="str">
        <f t="shared" si="4"/>
        <v/>
      </c>
      <c r="AK15" s="222" t="str">
        <f t="shared" si="5"/>
        <v/>
      </c>
      <c r="AL15" s="221" t="str">
        <f t="shared" si="9"/>
        <v/>
      </c>
      <c r="AM15" s="274"/>
      <c r="AO15" s="162"/>
      <c r="AP15" s="279" t="str">
        <f t="shared" si="10"/>
        <v>pIG009</v>
      </c>
      <c r="AQ15" s="279">
        <f t="shared" si="11"/>
        <v>0</v>
      </c>
      <c r="AR15" s="280">
        <f t="shared" si="12"/>
        <v>0</v>
      </c>
      <c r="AS15" s="278">
        <f t="shared" si="13"/>
        <v>0</v>
      </c>
      <c r="AT15" s="238">
        <f t="shared" si="14"/>
        <v>0</v>
      </c>
    </row>
    <row r="16" spans="1:47" s="153" customFormat="1" ht="14.4" x14ac:dyDescent="0.55000000000000004">
      <c r="A16" s="163"/>
      <c r="B16" s="295" t="s">
        <v>1581</v>
      </c>
      <c r="C16" s="105"/>
      <c r="D16" s="165"/>
      <c r="E16" s="164"/>
      <c r="F16" s="164"/>
      <c r="G16" s="164"/>
      <c r="H16" s="153" t="s">
        <v>76</v>
      </c>
      <c r="I16" s="185"/>
      <c r="J16" s="185"/>
      <c r="K16" s="185"/>
      <c r="L16" s="185"/>
      <c r="M16" s="185"/>
      <c r="N16" s="185"/>
      <c r="O16" s="185"/>
      <c r="P16" s="185"/>
      <c r="Q16" s="155"/>
      <c r="R16" s="167"/>
      <c r="S16" s="159" t="str">
        <f t="shared" si="7"/>
        <v>NotI: 0 uncut</v>
      </c>
      <c r="T16" s="168"/>
      <c r="U16" s="168"/>
      <c r="V16" s="169"/>
      <c r="W16" s="226"/>
      <c r="X16" s="207"/>
      <c r="Y16" s="250">
        <f t="shared" si="6"/>
        <v>0</v>
      </c>
      <c r="Z16" s="254"/>
      <c r="AA16" s="219"/>
      <c r="AB16" s="219"/>
      <c r="AC16" s="220" t="str">
        <f t="shared" si="0"/>
        <v/>
      </c>
      <c r="AD16" s="221" t="str">
        <f t="shared" si="1"/>
        <v/>
      </c>
      <c r="AE16" s="222" t="str">
        <f t="shared" si="2"/>
        <v/>
      </c>
      <c r="AF16" s="204"/>
      <c r="AG16" s="220" t="str">
        <f t="shared" si="3"/>
        <v/>
      </c>
      <c r="AH16" s="223" t="str">
        <f t="shared" si="8"/>
        <v/>
      </c>
      <c r="AI16" s="205"/>
      <c r="AJ16" s="221" t="str">
        <f t="shared" si="4"/>
        <v/>
      </c>
      <c r="AK16" s="222" t="str">
        <f t="shared" si="5"/>
        <v/>
      </c>
      <c r="AL16" s="221" t="str">
        <f t="shared" si="9"/>
        <v/>
      </c>
      <c r="AM16" s="274"/>
      <c r="AO16" s="162"/>
      <c r="AP16" s="279" t="str">
        <f t="shared" si="10"/>
        <v>pIG010</v>
      </c>
      <c r="AQ16" s="279">
        <f t="shared" si="11"/>
        <v>0</v>
      </c>
      <c r="AR16" s="280">
        <f t="shared" si="12"/>
        <v>0</v>
      </c>
      <c r="AS16" s="278">
        <f t="shared" si="13"/>
        <v>0</v>
      </c>
      <c r="AT16" s="238">
        <f t="shared" si="14"/>
        <v>0</v>
      </c>
    </row>
    <row r="17" spans="1:46" s="153" customFormat="1" ht="14.4" x14ac:dyDescent="0.55000000000000004">
      <c r="A17" s="163"/>
      <c r="B17" s="295" t="s">
        <v>1582</v>
      </c>
      <c r="C17" s="105"/>
      <c r="D17" s="165"/>
      <c r="E17" s="170"/>
      <c r="F17" s="164"/>
      <c r="G17" s="164"/>
      <c r="H17" s="153" t="s">
        <v>76</v>
      </c>
      <c r="I17" s="185"/>
      <c r="J17" s="185"/>
      <c r="K17" s="185"/>
      <c r="L17" s="185"/>
      <c r="M17" s="185"/>
      <c r="N17" s="185"/>
      <c r="O17" s="185"/>
      <c r="P17" s="185"/>
      <c r="Q17" s="155"/>
      <c r="R17" s="167"/>
      <c r="S17" s="159" t="str">
        <f t="shared" si="7"/>
        <v>NotI: 0 uncut</v>
      </c>
      <c r="T17" s="168"/>
      <c r="U17" s="168"/>
      <c r="V17" s="169"/>
      <c r="W17" s="226"/>
      <c r="X17" s="207"/>
      <c r="Y17" s="250">
        <f t="shared" si="6"/>
        <v>0</v>
      </c>
      <c r="Z17" s="254"/>
      <c r="AA17" s="219"/>
      <c r="AB17" s="219"/>
      <c r="AC17" s="220" t="str">
        <f t="shared" si="0"/>
        <v/>
      </c>
      <c r="AD17" s="221" t="str">
        <f t="shared" si="1"/>
        <v/>
      </c>
      <c r="AE17" s="222" t="str">
        <f t="shared" si="2"/>
        <v/>
      </c>
      <c r="AF17" s="204"/>
      <c r="AG17" s="220" t="str">
        <f t="shared" si="3"/>
        <v/>
      </c>
      <c r="AH17" s="223" t="str">
        <f t="shared" si="8"/>
        <v/>
      </c>
      <c r="AI17" s="205"/>
      <c r="AJ17" s="221" t="str">
        <f t="shared" si="4"/>
        <v/>
      </c>
      <c r="AK17" s="222" t="str">
        <f t="shared" si="5"/>
        <v/>
      </c>
      <c r="AL17" s="221" t="str">
        <f t="shared" si="9"/>
        <v/>
      </c>
      <c r="AM17" s="274"/>
      <c r="AO17" s="162"/>
      <c r="AP17" s="279" t="str">
        <f t="shared" si="10"/>
        <v>pIG011</v>
      </c>
      <c r="AQ17" s="279">
        <f t="shared" si="11"/>
        <v>0</v>
      </c>
      <c r="AR17" s="280">
        <f t="shared" si="12"/>
        <v>0</v>
      </c>
      <c r="AS17" s="278">
        <f t="shared" si="13"/>
        <v>0</v>
      </c>
      <c r="AT17" s="238">
        <f t="shared" si="14"/>
        <v>0</v>
      </c>
    </row>
    <row r="18" spans="1:46" s="153" customFormat="1" ht="14.4" x14ac:dyDescent="0.55000000000000004">
      <c r="A18" s="163"/>
      <c r="B18" s="295" t="s">
        <v>1583</v>
      </c>
      <c r="C18" s="172"/>
      <c r="D18" s="165"/>
      <c r="E18" s="186"/>
      <c r="F18" s="164"/>
      <c r="G18" s="164"/>
      <c r="H18" s="153" t="s">
        <v>76</v>
      </c>
      <c r="I18" s="185"/>
      <c r="J18" s="185"/>
      <c r="K18" s="185"/>
      <c r="L18" s="185"/>
      <c r="M18" s="185"/>
      <c r="N18" s="185"/>
      <c r="O18" s="185"/>
      <c r="P18" s="185"/>
      <c r="Q18" s="155"/>
      <c r="R18" s="167"/>
      <c r="S18" s="159" t="str">
        <f t="shared" si="7"/>
        <v>NotI: 0 uncut</v>
      </c>
      <c r="T18" s="171"/>
      <c r="U18" s="168"/>
      <c r="V18" s="169"/>
      <c r="W18" s="226"/>
      <c r="X18" s="207"/>
      <c r="Y18" s="250">
        <f t="shared" si="6"/>
        <v>0</v>
      </c>
      <c r="Z18" s="254"/>
      <c r="AA18" s="219"/>
      <c r="AB18" s="219"/>
      <c r="AC18" s="220" t="str">
        <f t="shared" si="0"/>
        <v/>
      </c>
      <c r="AD18" s="221" t="str">
        <f t="shared" si="1"/>
        <v/>
      </c>
      <c r="AE18" s="222" t="str">
        <f t="shared" si="2"/>
        <v/>
      </c>
      <c r="AF18" s="204"/>
      <c r="AG18" s="220" t="str">
        <f t="shared" si="3"/>
        <v/>
      </c>
      <c r="AH18" s="223" t="str">
        <f t="shared" si="8"/>
        <v/>
      </c>
      <c r="AI18" s="205"/>
      <c r="AJ18" s="221" t="str">
        <f t="shared" si="4"/>
        <v/>
      </c>
      <c r="AK18" s="222" t="str">
        <f t="shared" si="5"/>
        <v/>
      </c>
      <c r="AL18" s="221" t="str">
        <f t="shared" si="9"/>
        <v/>
      </c>
      <c r="AM18" s="274"/>
      <c r="AO18" s="162"/>
      <c r="AP18" s="279" t="str">
        <f t="shared" si="10"/>
        <v>pIG012</v>
      </c>
      <c r="AQ18" s="279">
        <f t="shared" si="11"/>
        <v>0</v>
      </c>
      <c r="AR18" s="280">
        <f t="shared" si="12"/>
        <v>0</v>
      </c>
      <c r="AS18" s="278">
        <f t="shared" si="13"/>
        <v>0</v>
      </c>
      <c r="AT18" s="238">
        <f t="shared" si="14"/>
        <v>0</v>
      </c>
    </row>
    <row r="19" spans="1:46" s="153" customFormat="1" ht="14.4" x14ac:dyDescent="0.55000000000000004">
      <c r="A19" s="173"/>
      <c r="B19" s="295" t="s">
        <v>1584</v>
      </c>
      <c r="C19" s="164"/>
      <c r="D19" s="165"/>
      <c r="E19" s="186"/>
      <c r="F19" s="164"/>
      <c r="G19" s="164"/>
      <c r="H19" s="153" t="s">
        <v>76</v>
      </c>
      <c r="I19" s="185"/>
      <c r="J19" s="185"/>
      <c r="K19" s="185"/>
      <c r="L19" s="185"/>
      <c r="M19" s="185"/>
      <c r="N19" s="185"/>
      <c r="O19" s="185"/>
      <c r="P19" s="185"/>
      <c r="Q19" s="155"/>
      <c r="R19" s="167"/>
      <c r="S19" s="159" t="str">
        <f t="shared" si="7"/>
        <v>NotI: 0 uncut</v>
      </c>
      <c r="T19" s="168"/>
      <c r="U19" s="168"/>
      <c r="V19" s="169"/>
      <c r="W19" s="226"/>
      <c r="X19" s="207"/>
      <c r="Y19" s="250">
        <f t="shared" si="6"/>
        <v>0</v>
      </c>
      <c r="Z19" s="254"/>
      <c r="AA19" s="219"/>
      <c r="AB19" s="219"/>
      <c r="AC19" s="220" t="str">
        <f t="shared" si="0"/>
        <v/>
      </c>
      <c r="AD19" s="221" t="str">
        <f t="shared" si="1"/>
        <v/>
      </c>
      <c r="AE19" s="222" t="str">
        <f t="shared" si="2"/>
        <v/>
      </c>
      <c r="AF19" s="204"/>
      <c r="AG19" s="220" t="str">
        <f t="shared" si="3"/>
        <v/>
      </c>
      <c r="AH19" s="223" t="str">
        <f t="shared" si="8"/>
        <v/>
      </c>
      <c r="AI19" s="205"/>
      <c r="AJ19" s="221" t="str">
        <f t="shared" si="4"/>
        <v/>
      </c>
      <c r="AK19" s="222" t="str">
        <f t="shared" si="5"/>
        <v/>
      </c>
      <c r="AL19" s="221" t="str">
        <f t="shared" si="9"/>
        <v/>
      </c>
      <c r="AM19" s="274"/>
      <c r="AO19" s="162"/>
      <c r="AP19" s="279" t="str">
        <f t="shared" si="10"/>
        <v>pIG013</v>
      </c>
      <c r="AQ19" s="279">
        <f t="shared" si="11"/>
        <v>0</v>
      </c>
      <c r="AR19" s="280">
        <f t="shared" si="12"/>
        <v>0</v>
      </c>
      <c r="AS19" s="278">
        <f t="shared" si="13"/>
        <v>0</v>
      </c>
      <c r="AT19" s="238">
        <f t="shared" si="14"/>
        <v>0</v>
      </c>
    </row>
    <row r="20" spans="1:46" s="153" customFormat="1" ht="14.4" x14ac:dyDescent="0.55000000000000004">
      <c r="A20" s="173"/>
      <c r="B20" s="295" t="s">
        <v>1585</v>
      </c>
      <c r="C20" s="203"/>
      <c r="D20" s="165"/>
      <c r="E20" s="186"/>
      <c r="F20" s="164"/>
      <c r="G20" s="164"/>
      <c r="H20" s="153" t="s">
        <v>76</v>
      </c>
      <c r="I20" s="185"/>
      <c r="J20" s="185"/>
      <c r="K20" s="185"/>
      <c r="L20" s="185"/>
      <c r="M20" s="185"/>
      <c r="N20" s="185"/>
      <c r="O20" s="185"/>
      <c r="P20" s="185"/>
      <c r="Q20" s="155"/>
      <c r="R20" s="167"/>
      <c r="S20" s="159" t="str">
        <f t="shared" si="7"/>
        <v>NotI: 0 uncut</v>
      </c>
      <c r="T20" s="168"/>
      <c r="U20" s="168"/>
      <c r="V20" s="169"/>
      <c r="W20" s="226"/>
      <c r="X20" s="207"/>
      <c r="Y20" s="250">
        <f t="shared" si="6"/>
        <v>0</v>
      </c>
      <c r="Z20" s="254"/>
      <c r="AA20" s="219"/>
      <c r="AB20" s="219"/>
      <c r="AC20" s="220" t="str">
        <f t="shared" si="0"/>
        <v/>
      </c>
      <c r="AD20" s="221" t="str">
        <f t="shared" si="1"/>
        <v/>
      </c>
      <c r="AE20" s="222" t="str">
        <f t="shared" si="2"/>
        <v/>
      </c>
      <c r="AF20" s="204"/>
      <c r="AG20" s="220" t="str">
        <f t="shared" si="3"/>
        <v/>
      </c>
      <c r="AH20" s="223" t="str">
        <f t="shared" si="8"/>
        <v/>
      </c>
      <c r="AI20" s="205"/>
      <c r="AJ20" s="221" t="str">
        <f t="shared" si="4"/>
        <v/>
      </c>
      <c r="AK20" s="222" t="str">
        <f t="shared" si="5"/>
        <v/>
      </c>
      <c r="AL20" s="221" t="str">
        <f t="shared" si="9"/>
        <v/>
      </c>
      <c r="AM20" s="274"/>
      <c r="AO20" s="162"/>
      <c r="AP20" s="279" t="str">
        <f t="shared" si="10"/>
        <v>pIG014</v>
      </c>
      <c r="AQ20" s="279">
        <f t="shared" si="11"/>
        <v>0</v>
      </c>
      <c r="AR20" s="280">
        <f t="shared" si="12"/>
        <v>0</v>
      </c>
      <c r="AS20" s="278">
        <f t="shared" si="13"/>
        <v>0</v>
      </c>
      <c r="AT20" s="238">
        <f t="shared" si="14"/>
        <v>0</v>
      </c>
    </row>
    <row r="21" spans="1:46" s="153" customFormat="1" ht="14.4" x14ac:dyDescent="0.55000000000000004">
      <c r="A21" s="173"/>
      <c r="B21" s="295" t="s">
        <v>1586</v>
      </c>
      <c r="C21" s="164"/>
      <c r="D21" s="165"/>
      <c r="E21" s="186"/>
      <c r="F21" s="164"/>
      <c r="G21" s="164"/>
      <c r="H21" s="153" t="s">
        <v>76</v>
      </c>
      <c r="I21" s="185"/>
      <c r="J21" s="185"/>
      <c r="K21" s="185"/>
      <c r="L21" s="185"/>
      <c r="M21" s="185"/>
      <c r="N21" s="185"/>
      <c r="O21" s="185"/>
      <c r="P21" s="185"/>
      <c r="Q21" s="155"/>
      <c r="R21" s="167"/>
      <c r="S21" s="159" t="str">
        <f t="shared" si="7"/>
        <v>NotI: 0 uncut</v>
      </c>
      <c r="T21" s="171"/>
      <c r="U21" s="168"/>
      <c r="V21" s="169"/>
      <c r="W21" s="226"/>
      <c r="X21" s="207"/>
      <c r="Y21" s="250">
        <f t="shared" si="6"/>
        <v>0</v>
      </c>
      <c r="Z21" s="254"/>
      <c r="AA21" s="219"/>
      <c r="AB21" s="219"/>
      <c r="AC21" s="220" t="str">
        <f t="shared" si="0"/>
        <v/>
      </c>
      <c r="AD21" s="221" t="str">
        <f t="shared" si="1"/>
        <v/>
      </c>
      <c r="AE21" s="222" t="str">
        <f t="shared" si="2"/>
        <v/>
      </c>
      <c r="AF21" s="204"/>
      <c r="AG21" s="220" t="str">
        <f t="shared" si="3"/>
        <v/>
      </c>
      <c r="AH21" s="223" t="str">
        <f t="shared" si="8"/>
        <v/>
      </c>
      <c r="AI21" s="205"/>
      <c r="AJ21" s="221" t="str">
        <f t="shared" si="4"/>
        <v/>
      </c>
      <c r="AK21" s="222" t="str">
        <f t="shared" si="5"/>
        <v/>
      </c>
      <c r="AL21" s="221" t="str">
        <f t="shared" si="9"/>
        <v/>
      </c>
      <c r="AM21" s="274"/>
      <c r="AO21" s="162"/>
      <c r="AP21" s="279" t="str">
        <f t="shared" si="10"/>
        <v>pIG015</v>
      </c>
      <c r="AQ21" s="279">
        <f t="shared" si="11"/>
        <v>0</v>
      </c>
      <c r="AR21" s="280">
        <f t="shared" si="12"/>
        <v>0</v>
      </c>
      <c r="AS21" s="278">
        <f t="shared" si="13"/>
        <v>0</v>
      </c>
      <c r="AT21" s="238">
        <f t="shared" si="14"/>
        <v>0</v>
      </c>
    </row>
    <row r="22" spans="1:46" s="153" customFormat="1" ht="14.4" x14ac:dyDescent="0.55000000000000004">
      <c r="A22" s="173"/>
      <c r="B22" s="295" t="s">
        <v>1587</v>
      </c>
      <c r="C22" s="203"/>
      <c r="D22" s="165"/>
      <c r="E22" s="164"/>
      <c r="F22" s="164"/>
      <c r="G22" s="164"/>
      <c r="H22" s="153" t="s">
        <v>76</v>
      </c>
      <c r="I22" s="185"/>
      <c r="J22" s="185"/>
      <c r="K22" s="185"/>
      <c r="L22" s="185"/>
      <c r="M22" s="185"/>
      <c r="N22" s="185"/>
      <c r="O22" s="185"/>
      <c r="P22" s="185"/>
      <c r="Q22" s="155"/>
      <c r="R22" s="167"/>
      <c r="S22" s="159" t="str">
        <f t="shared" si="7"/>
        <v>NotI: 0 uncut</v>
      </c>
      <c r="T22" s="171"/>
      <c r="U22" s="168"/>
      <c r="V22" s="169"/>
      <c r="W22" s="226"/>
      <c r="X22" s="207"/>
      <c r="Y22" s="250">
        <f t="shared" si="6"/>
        <v>0</v>
      </c>
      <c r="Z22" s="254"/>
      <c r="AA22" s="219"/>
      <c r="AB22" s="219"/>
      <c r="AC22" s="220" t="str">
        <f t="shared" ref="AC22:AC85" si="15">IF($AB22="",IF(OR($Y22="",$Z22=""),"",($Z22*10^-9/10^-6)/($Y22*615.88)*10^9),$AB22)</f>
        <v/>
      </c>
      <c r="AD22" s="221" t="str">
        <f t="shared" si="1"/>
        <v/>
      </c>
      <c r="AE22" s="222" t="str">
        <f t="shared" si="2"/>
        <v/>
      </c>
      <c r="AF22" s="204"/>
      <c r="AG22" s="220" t="str">
        <f t="shared" si="3"/>
        <v/>
      </c>
      <c r="AH22" s="223" t="str">
        <f t="shared" si="8"/>
        <v/>
      </c>
      <c r="AI22" s="205"/>
      <c r="AJ22" s="221" t="str">
        <f t="shared" si="4"/>
        <v/>
      </c>
      <c r="AK22" s="222" t="str">
        <f t="shared" si="5"/>
        <v/>
      </c>
      <c r="AL22" s="221" t="str">
        <f t="shared" si="9"/>
        <v/>
      </c>
      <c r="AM22" s="274"/>
      <c r="AO22" s="162"/>
      <c r="AP22" s="279" t="str">
        <f t="shared" si="10"/>
        <v>pIG016</v>
      </c>
      <c r="AQ22" s="279">
        <f t="shared" si="11"/>
        <v>0</v>
      </c>
      <c r="AR22" s="280">
        <f t="shared" si="12"/>
        <v>0</v>
      </c>
      <c r="AS22" s="278">
        <f t="shared" si="13"/>
        <v>0</v>
      </c>
      <c r="AT22" s="238">
        <f t="shared" si="14"/>
        <v>0</v>
      </c>
    </row>
    <row r="23" spans="1:46" s="153" customFormat="1" ht="14.4" x14ac:dyDescent="0.55000000000000004">
      <c r="A23" s="173"/>
      <c r="B23" s="295" t="s">
        <v>1588</v>
      </c>
      <c r="C23" s="164"/>
      <c r="D23" s="174"/>
      <c r="E23" s="203"/>
      <c r="F23" s="164"/>
      <c r="G23" s="203"/>
      <c r="H23" s="153" t="s">
        <v>76</v>
      </c>
      <c r="I23" s="185"/>
      <c r="J23" s="185"/>
      <c r="K23" s="185"/>
      <c r="L23" s="185"/>
      <c r="M23" s="185"/>
      <c r="N23" s="185"/>
      <c r="O23" s="185"/>
      <c r="P23" s="185"/>
      <c r="Q23" s="155"/>
      <c r="R23" s="167"/>
      <c r="S23" s="159" t="str">
        <f t="shared" si="7"/>
        <v>NotI: 0 uncut</v>
      </c>
      <c r="T23" s="175"/>
      <c r="U23" s="168"/>
      <c r="V23" s="169"/>
      <c r="W23" s="226"/>
      <c r="X23" s="207"/>
      <c r="Y23" s="250">
        <f t="shared" si="6"/>
        <v>0</v>
      </c>
      <c r="Z23" s="254"/>
      <c r="AA23" s="219"/>
      <c r="AB23" s="219"/>
      <c r="AC23" s="220" t="str">
        <f t="shared" si="15"/>
        <v/>
      </c>
      <c r="AD23" s="221" t="str">
        <f t="shared" si="1"/>
        <v/>
      </c>
      <c r="AE23" s="222" t="str">
        <f t="shared" si="2"/>
        <v/>
      </c>
      <c r="AF23" s="204"/>
      <c r="AG23" s="220" t="str">
        <f t="shared" si="3"/>
        <v/>
      </c>
      <c r="AH23" s="223" t="str">
        <f t="shared" si="8"/>
        <v/>
      </c>
      <c r="AI23" s="205"/>
      <c r="AJ23" s="221" t="str">
        <f t="shared" si="4"/>
        <v/>
      </c>
      <c r="AK23" s="222" t="str">
        <f t="shared" si="5"/>
        <v/>
      </c>
      <c r="AL23" s="221" t="str">
        <f t="shared" si="9"/>
        <v/>
      </c>
      <c r="AM23" s="274"/>
      <c r="AO23" s="162"/>
      <c r="AP23" s="279" t="str">
        <f t="shared" si="10"/>
        <v>pIG017</v>
      </c>
      <c r="AQ23" s="279">
        <f t="shared" si="11"/>
        <v>0</v>
      </c>
      <c r="AR23" s="280">
        <f t="shared" si="12"/>
        <v>0</v>
      </c>
      <c r="AS23" s="278">
        <f t="shared" si="13"/>
        <v>0</v>
      </c>
      <c r="AT23" s="238">
        <f t="shared" si="14"/>
        <v>0</v>
      </c>
    </row>
    <row r="24" spans="1:46" s="153" customFormat="1" ht="14.4" x14ac:dyDescent="0.55000000000000004">
      <c r="A24" s="173"/>
      <c r="B24" s="295" t="s">
        <v>1589</v>
      </c>
      <c r="C24" s="203"/>
      <c r="D24" s="174"/>
      <c r="E24" s="203"/>
      <c r="F24" s="164"/>
      <c r="G24" s="203"/>
      <c r="H24" s="153" t="s">
        <v>76</v>
      </c>
      <c r="I24" s="185"/>
      <c r="J24" s="185"/>
      <c r="K24" s="185"/>
      <c r="L24" s="185"/>
      <c r="M24" s="185"/>
      <c r="N24" s="185"/>
      <c r="O24" s="185"/>
      <c r="P24" s="185"/>
      <c r="Q24" s="155"/>
      <c r="R24" s="167"/>
      <c r="S24" s="159" t="str">
        <f t="shared" si="7"/>
        <v>NotI: 0 uncut</v>
      </c>
      <c r="T24" s="224"/>
      <c r="U24" s="224"/>
      <c r="V24" s="169"/>
      <c r="W24" s="226"/>
      <c r="X24" s="207"/>
      <c r="Y24" s="250">
        <f t="shared" si="6"/>
        <v>0</v>
      </c>
      <c r="Z24" s="254"/>
      <c r="AA24" s="219"/>
      <c r="AB24" s="219"/>
      <c r="AC24" s="220" t="str">
        <f t="shared" si="15"/>
        <v/>
      </c>
      <c r="AD24" s="221" t="str">
        <f t="shared" si="1"/>
        <v/>
      </c>
      <c r="AE24" s="222" t="str">
        <f t="shared" si="2"/>
        <v/>
      </c>
      <c r="AF24" s="204"/>
      <c r="AG24" s="220" t="str">
        <f t="shared" si="3"/>
        <v/>
      </c>
      <c r="AH24" s="223" t="str">
        <f t="shared" si="8"/>
        <v/>
      </c>
      <c r="AI24" s="205"/>
      <c r="AJ24" s="221" t="str">
        <f t="shared" si="4"/>
        <v/>
      </c>
      <c r="AK24" s="222" t="str">
        <f t="shared" si="5"/>
        <v/>
      </c>
      <c r="AL24" s="221" t="str">
        <f t="shared" si="9"/>
        <v/>
      </c>
      <c r="AM24" s="274"/>
      <c r="AO24" s="162"/>
      <c r="AP24" s="279" t="str">
        <f t="shared" si="10"/>
        <v>pIG018</v>
      </c>
      <c r="AQ24" s="279">
        <f t="shared" si="11"/>
        <v>0</v>
      </c>
      <c r="AR24" s="280">
        <f t="shared" si="12"/>
        <v>0</v>
      </c>
      <c r="AS24" s="278">
        <f t="shared" si="13"/>
        <v>0</v>
      </c>
      <c r="AT24" s="238">
        <f t="shared" si="14"/>
        <v>0</v>
      </c>
    </row>
    <row r="25" spans="1:46" s="153" customFormat="1" ht="14.4" x14ac:dyDescent="0.55000000000000004">
      <c r="A25" s="173"/>
      <c r="B25" s="295" t="s">
        <v>1590</v>
      </c>
      <c r="C25" s="166"/>
      <c r="D25" s="166"/>
      <c r="E25" s="166"/>
      <c r="F25" s="164"/>
      <c r="G25" s="203"/>
      <c r="H25" s="153" t="s">
        <v>76</v>
      </c>
      <c r="I25" s="185"/>
      <c r="J25" s="185"/>
      <c r="K25" s="185"/>
      <c r="L25" s="185"/>
      <c r="M25" s="185"/>
      <c r="N25" s="185"/>
      <c r="O25" s="185"/>
      <c r="P25" s="185"/>
      <c r="Q25" s="155"/>
      <c r="R25" s="167"/>
      <c r="S25" s="159" t="str">
        <f t="shared" si="7"/>
        <v>NotI: 0 uncut</v>
      </c>
      <c r="T25" s="175"/>
      <c r="U25" s="168"/>
      <c r="V25" s="169"/>
      <c r="W25" s="226"/>
      <c r="X25" s="207"/>
      <c r="Y25" s="250">
        <f t="shared" si="6"/>
        <v>0</v>
      </c>
      <c r="Z25" s="254"/>
      <c r="AA25" s="219"/>
      <c r="AB25" s="219"/>
      <c r="AC25" s="220" t="str">
        <f t="shared" si="15"/>
        <v/>
      </c>
      <c r="AD25" s="221" t="str">
        <f t="shared" si="1"/>
        <v/>
      </c>
      <c r="AE25" s="222" t="str">
        <f t="shared" si="2"/>
        <v/>
      </c>
      <c r="AF25" s="204"/>
      <c r="AG25" s="220" t="str">
        <f t="shared" si="3"/>
        <v/>
      </c>
      <c r="AH25" s="223" t="str">
        <f t="shared" si="8"/>
        <v/>
      </c>
      <c r="AI25" s="205"/>
      <c r="AJ25" s="221" t="str">
        <f t="shared" si="4"/>
        <v/>
      </c>
      <c r="AK25" s="222" t="str">
        <f t="shared" si="5"/>
        <v/>
      </c>
      <c r="AL25" s="221" t="str">
        <f t="shared" si="9"/>
        <v/>
      </c>
      <c r="AM25" s="274"/>
      <c r="AO25" s="162"/>
      <c r="AP25" s="279" t="str">
        <f t="shared" si="10"/>
        <v>pIG019</v>
      </c>
      <c r="AQ25" s="279">
        <f t="shared" si="11"/>
        <v>0</v>
      </c>
      <c r="AR25" s="280">
        <f t="shared" si="12"/>
        <v>0</v>
      </c>
      <c r="AS25" s="278">
        <f t="shared" si="13"/>
        <v>0</v>
      </c>
      <c r="AT25" s="238">
        <f t="shared" si="14"/>
        <v>0</v>
      </c>
    </row>
    <row r="26" spans="1:46" s="153" customFormat="1" ht="14.4" x14ac:dyDescent="0.55000000000000004">
      <c r="A26" s="173"/>
      <c r="B26" s="295" t="s">
        <v>1591</v>
      </c>
      <c r="C26" s="166"/>
      <c r="D26" s="166"/>
      <c r="E26" s="166"/>
      <c r="F26" s="164"/>
      <c r="G26" s="203"/>
      <c r="H26" s="153" t="s">
        <v>76</v>
      </c>
      <c r="I26" s="185"/>
      <c r="J26" s="185"/>
      <c r="K26" s="185"/>
      <c r="L26" s="185"/>
      <c r="M26" s="185"/>
      <c r="N26" s="185"/>
      <c r="O26" s="185"/>
      <c r="P26" s="185"/>
      <c r="Q26" s="155"/>
      <c r="R26" s="167"/>
      <c r="S26" s="159" t="str">
        <f t="shared" si="7"/>
        <v>NotI: 0 uncut</v>
      </c>
      <c r="T26" s="171"/>
      <c r="U26" s="168"/>
      <c r="V26" s="169"/>
      <c r="W26" s="226"/>
      <c r="X26" s="207"/>
      <c r="Y26" s="250">
        <f t="shared" si="6"/>
        <v>0</v>
      </c>
      <c r="Z26" s="254"/>
      <c r="AA26" s="219"/>
      <c r="AB26" s="219"/>
      <c r="AC26" s="220" t="str">
        <f t="shared" si="15"/>
        <v/>
      </c>
      <c r="AD26" s="221" t="str">
        <f t="shared" si="1"/>
        <v/>
      </c>
      <c r="AE26" s="222" t="str">
        <f t="shared" si="2"/>
        <v/>
      </c>
      <c r="AF26" s="204"/>
      <c r="AG26" s="220" t="str">
        <f t="shared" si="3"/>
        <v/>
      </c>
      <c r="AH26" s="223" t="str">
        <f t="shared" si="8"/>
        <v/>
      </c>
      <c r="AI26" s="205"/>
      <c r="AJ26" s="221" t="str">
        <f t="shared" si="4"/>
        <v/>
      </c>
      <c r="AK26" s="222" t="str">
        <f t="shared" si="5"/>
        <v/>
      </c>
      <c r="AL26" s="221" t="str">
        <f t="shared" si="9"/>
        <v/>
      </c>
      <c r="AM26" s="274"/>
      <c r="AO26" s="162"/>
      <c r="AP26" s="279" t="str">
        <f t="shared" si="10"/>
        <v>pIG020</v>
      </c>
      <c r="AQ26" s="279">
        <f t="shared" si="11"/>
        <v>0</v>
      </c>
      <c r="AR26" s="280">
        <f t="shared" si="12"/>
        <v>0</v>
      </c>
      <c r="AS26" s="278">
        <f t="shared" si="13"/>
        <v>0</v>
      </c>
      <c r="AT26" s="238">
        <f t="shared" si="14"/>
        <v>0</v>
      </c>
    </row>
    <row r="27" spans="1:46" s="153" customFormat="1" ht="14.4" x14ac:dyDescent="0.55000000000000004">
      <c r="A27" s="173"/>
      <c r="B27" s="295" t="s">
        <v>1592</v>
      </c>
      <c r="C27" s="166"/>
      <c r="D27" s="166"/>
      <c r="E27" s="166"/>
      <c r="F27" s="164"/>
      <c r="G27" s="203"/>
      <c r="H27" s="153" t="s">
        <v>76</v>
      </c>
      <c r="I27" s="185"/>
      <c r="J27" s="185"/>
      <c r="K27" s="185"/>
      <c r="L27" s="185"/>
      <c r="M27" s="185"/>
      <c r="N27" s="185"/>
      <c r="O27" s="185"/>
      <c r="P27" s="185"/>
      <c r="Q27" s="155"/>
      <c r="R27" s="167"/>
      <c r="S27" s="159" t="str">
        <f t="shared" si="7"/>
        <v>NotI: 0 uncut</v>
      </c>
      <c r="U27" s="168"/>
      <c r="V27" s="169"/>
      <c r="W27" s="226"/>
      <c r="X27" s="207"/>
      <c r="Y27" s="250">
        <f t="shared" si="6"/>
        <v>0</v>
      </c>
      <c r="Z27" s="254"/>
      <c r="AA27" s="219"/>
      <c r="AB27" s="219"/>
      <c r="AC27" s="220" t="str">
        <f t="shared" si="15"/>
        <v/>
      </c>
      <c r="AD27" s="221" t="str">
        <f t="shared" si="1"/>
        <v/>
      </c>
      <c r="AE27" s="222" t="str">
        <f t="shared" si="2"/>
        <v/>
      </c>
      <c r="AF27" s="204"/>
      <c r="AG27" s="220" t="str">
        <f t="shared" si="3"/>
        <v/>
      </c>
      <c r="AH27" s="223" t="str">
        <f t="shared" si="8"/>
        <v/>
      </c>
      <c r="AI27" s="205"/>
      <c r="AJ27" s="221" t="str">
        <f t="shared" si="4"/>
        <v/>
      </c>
      <c r="AK27" s="222" t="str">
        <f t="shared" si="5"/>
        <v/>
      </c>
      <c r="AL27" s="221" t="str">
        <f t="shared" si="9"/>
        <v/>
      </c>
      <c r="AM27" s="274"/>
      <c r="AO27" s="162"/>
      <c r="AP27" s="279" t="str">
        <f t="shared" si="10"/>
        <v>pIG021</v>
      </c>
      <c r="AQ27" s="279">
        <f t="shared" si="11"/>
        <v>0</v>
      </c>
      <c r="AR27" s="280">
        <f t="shared" si="12"/>
        <v>0</v>
      </c>
      <c r="AS27" s="278">
        <f t="shared" si="13"/>
        <v>0</v>
      </c>
      <c r="AT27" s="238">
        <f t="shared" si="14"/>
        <v>0</v>
      </c>
    </row>
    <row r="28" spans="1:46" s="153" customFormat="1" ht="14.4" x14ac:dyDescent="0.55000000000000004">
      <c r="A28" s="173"/>
      <c r="B28" s="295" t="s">
        <v>1593</v>
      </c>
      <c r="C28" s="164"/>
      <c r="D28" s="166"/>
      <c r="E28" s="166"/>
      <c r="F28" s="164"/>
      <c r="G28" s="203"/>
      <c r="H28" s="153" t="s">
        <v>76</v>
      </c>
      <c r="I28" s="185"/>
      <c r="J28" s="185"/>
      <c r="K28" s="185"/>
      <c r="L28" s="185"/>
      <c r="M28" s="185"/>
      <c r="N28" s="185"/>
      <c r="O28" s="185"/>
      <c r="P28" s="185"/>
      <c r="Q28" s="155"/>
      <c r="R28" s="167"/>
      <c r="S28" s="159" t="str">
        <f t="shared" si="7"/>
        <v>NotI: 0 uncut</v>
      </c>
      <c r="T28" s="171"/>
      <c r="U28" s="168"/>
      <c r="V28" s="169"/>
      <c r="W28" s="226"/>
      <c r="X28" s="207"/>
      <c r="Y28" s="250">
        <f t="shared" si="6"/>
        <v>0</v>
      </c>
      <c r="Z28" s="254"/>
      <c r="AA28" s="219"/>
      <c r="AB28" s="219"/>
      <c r="AC28" s="220" t="str">
        <f t="shared" si="15"/>
        <v/>
      </c>
      <c r="AD28" s="221" t="str">
        <f t="shared" si="1"/>
        <v/>
      </c>
      <c r="AE28" s="222" t="str">
        <f t="shared" si="2"/>
        <v/>
      </c>
      <c r="AF28" s="204"/>
      <c r="AG28" s="220" t="str">
        <f t="shared" si="3"/>
        <v/>
      </c>
      <c r="AH28" s="223" t="str">
        <f t="shared" si="8"/>
        <v/>
      </c>
      <c r="AI28" s="205"/>
      <c r="AJ28" s="221" t="str">
        <f t="shared" si="4"/>
        <v/>
      </c>
      <c r="AK28" s="222" t="str">
        <f t="shared" si="5"/>
        <v/>
      </c>
      <c r="AL28" s="221" t="str">
        <f t="shared" si="9"/>
        <v/>
      </c>
      <c r="AM28" s="274"/>
      <c r="AO28" s="162"/>
      <c r="AP28" s="279" t="str">
        <f t="shared" si="10"/>
        <v>pIG022</v>
      </c>
      <c r="AQ28" s="279">
        <f t="shared" si="11"/>
        <v>0</v>
      </c>
      <c r="AR28" s="280">
        <f t="shared" si="12"/>
        <v>0</v>
      </c>
      <c r="AS28" s="278">
        <f t="shared" si="13"/>
        <v>0</v>
      </c>
      <c r="AT28" s="238">
        <f t="shared" si="14"/>
        <v>0</v>
      </c>
    </row>
    <row r="29" spans="1:46" s="153" customFormat="1" ht="14.4" x14ac:dyDescent="0.55000000000000004">
      <c r="A29" s="173"/>
      <c r="B29" s="295" t="s">
        <v>1594</v>
      </c>
      <c r="C29" s="203"/>
      <c r="D29" s="164"/>
      <c r="E29" s="203"/>
      <c r="F29" s="164"/>
      <c r="G29" s="203"/>
      <c r="H29" s="153" t="s">
        <v>76</v>
      </c>
      <c r="I29" s="185"/>
      <c r="J29" s="185"/>
      <c r="K29" s="185"/>
      <c r="L29" s="185"/>
      <c r="M29" s="185"/>
      <c r="N29" s="185"/>
      <c r="O29" s="185"/>
      <c r="P29" s="185"/>
      <c r="Q29" s="155"/>
      <c r="R29" s="167"/>
      <c r="S29" s="159" t="str">
        <f t="shared" si="7"/>
        <v>NotI: 0 uncut</v>
      </c>
      <c r="T29" s="184"/>
      <c r="U29" s="224"/>
      <c r="V29" s="169"/>
      <c r="W29" s="226"/>
      <c r="X29" s="207"/>
      <c r="Y29" s="250">
        <f t="shared" si="6"/>
        <v>0</v>
      </c>
      <c r="Z29" s="254"/>
      <c r="AA29" s="219"/>
      <c r="AB29" s="219"/>
      <c r="AC29" s="220" t="str">
        <f t="shared" si="15"/>
        <v/>
      </c>
      <c r="AD29" s="221" t="str">
        <f t="shared" si="1"/>
        <v/>
      </c>
      <c r="AE29" s="222" t="str">
        <f t="shared" si="2"/>
        <v/>
      </c>
      <c r="AF29" s="204"/>
      <c r="AG29" s="220" t="str">
        <f t="shared" si="3"/>
        <v/>
      </c>
      <c r="AH29" s="223" t="str">
        <f t="shared" si="8"/>
        <v/>
      </c>
      <c r="AI29" s="205"/>
      <c r="AJ29" s="221"/>
      <c r="AK29" s="222"/>
      <c r="AL29" s="221"/>
      <c r="AM29" s="274"/>
      <c r="AO29" s="162"/>
      <c r="AP29" s="279" t="str">
        <f t="shared" si="10"/>
        <v>pIG023</v>
      </c>
      <c r="AQ29" s="279">
        <f t="shared" si="11"/>
        <v>0</v>
      </c>
      <c r="AR29" s="280">
        <f t="shared" si="12"/>
        <v>0</v>
      </c>
      <c r="AS29" s="278">
        <f t="shared" si="13"/>
        <v>0</v>
      </c>
      <c r="AT29" s="238">
        <f t="shared" si="14"/>
        <v>0</v>
      </c>
    </row>
    <row r="30" spans="1:46" s="153" customFormat="1" ht="14.4" x14ac:dyDescent="0.55000000000000004">
      <c r="A30" s="173"/>
      <c r="B30" s="295" t="s">
        <v>1595</v>
      </c>
      <c r="C30" s="203"/>
      <c r="D30" s="165"/>
      <c r="E30" s="203"/>
      <c r="F30" s="164"/>
      <c r="G30" s="164"/>
      <c r="H30" s="153" t="s">
        <v>76</v>
      </c>
      <c r="I30" s="185"/>
      <c r="J30" s="185"/>
      <c r="K30" s="185"/>
      <c r="L30" s="185"/>
      <c r="M30" s="185"/>
      <c r="N30" s="185"/>
      <c r="O30" s="185"/>
      <c r="P30" s="185"/>
      <c r="Q30" s="155"/>
      <c r="R30" s="167"/>
      <c r="S30" s="159" t="str">
        <f t="shared" si="7"/>
        <v>NotI: 0 uncut</v>
      </c>
      <c r="T30" s="168"/>
      <c r="U30" s="168"/>
      <c r="V30" s="169"/>
      <c r="W30" s="226"/>
      <c r="X30" s="207"/>
      <c r="Y30" s="250">
        <f t="shared" si="6"/>
        <v>0</v>
      </c>
      <c r="Z30" s="254"/>
      <c r="AA30" s="219"/>
      <c r="AB30" s="219"/>
      <c r="AC30" s="220" t="str">
        <f t="shared" si="15"/>
        <v/>
      </c>
      <c r="AD30" s="221" t="str">
        <f t="shared" si="1"/>
        <v/>
      </c>
      <c r="AE30" s="222" t="str">
        <f t="shared" si="2"/>
        <v/>
      </c>
      <c r="AF30" s="204"/>
      <c r="AG30" s="220" t="str">
        <f t="shared" si="3"/>
        <v/>
      </c>
      <c r="AH30" s="223" t="str">
        <f t="shared" si="8"/>
        <v/>
      </c>
      <c r="AI30" s="205"/>
      <c r="AJ30" s="221"/>
      <c r="AK30" s="222"/>
      <c r="AL30" s="221"/>
      <c r="AM30" s="274"/>
      <c r="AO30" s="162"/>
      <c r="AP30" s="279" t="str">
        <f t="shared" si="10"/>
        <v>pIG024</v>
      </c>
      <c r="AQ30" s="279">
        <f t="shared" si="11"/>
        <v>0</v>
      </c>
      <c r="AR30" s="280">
        <f t="shared" si="12"/>
        <v>0</v>
      </c>
      <c r="AS30" s="278">
        <f t="shared" si="13"/>
        <v>0</v>
      </c>
      <c r="AT30" s="238">
        <f t="shared" si="14"/>
        <v>0</v>
      </c>
    </row>
    <row r="31" spans="1:46" s="153" customFormat="1" ht="14.4" x14ac:dyDescent="0.55000000000000004">
      <c r="A31" s="173"/>
      <c r="B31" s="295" t="s">
        <v>1596</v>
      </c>
      <c r="C31" s="166"/>
      <c r="D31" s="166"/>
      <c r="E31" s="208"/>
      <c r="F31" s="164"/>
      <c r="G31" s="164"/>
      <c r="H31" s="153" t="s">
        <v>76</v>
      </c>
      <c r="I31" s="185"/>
      <c r="J31" s="185"/>
      <c r="K31" s="185"/>
      <c r="L31" s="185"/>
      <c r="M31" s="185"/>
      <c r="N31" s="185"/>
      <c r="O31" s="185"/>
      <c r="P31" s="185"/>
      <c r="Q31" s="155"/>
      <c r="R31" s="167"/>
      <c r="S31" s="159" t="str">
        <f t="shared" si="7"/>
        <v>NotI: 0 uncut</v>
      </c>
      <c r="T31" s="168"/>
      <c r="U31" s="168"/>
      <c r="V31" s="169"/>
      <c r="W31" s="226"/>
      <c r="X31" s="207"/>
      <c r="Y31" s="250">
        <f t="shared" si="6"/>
        <v>0</v>
      </c>
      <c r="Z31" s="254"/>
      <c r="AA31" s="219"/>
      <c r="AB31" s="219"/>
      <c r="AC31" s="220" t="str">
        <f t="shared" si="15"/>
        <v/>
      </c>
      <c r="AD31" s="221" t="str">
        <f t="shared" si="1"/>
        <v/>
      </c>
      <c r="AE31" s="222" t="str">
        <f t="shared" si="2"/>
        <v/>
      </c>
      <c r="AF31" s="204"/>
      <c r="AG31" s="220" t="str">
        <f t="shared" si="3"/>
        <v/>
      </c>
      <c r="AH31" s="223" t="str">
        <f t="shared" si="8"/>
        <v/>
      </c>
      <c r="AI31" s="205"/>
      <c r="AJ31" s="221"/>
      <c r="AK31" s="222"/>
      <c r="AL31" s="221"/>
      <c r="AM31" s="274"/>
      <c r="AO31" s="162"/>
      <c r="AP31" s="279" t="str">
        <f t="shared" si="10"/>
        <v>pIG025</v>
      </c>
      <c r="AQ31" s="279">
        <f t="shared" si="11"/>
        <v>0</v>
      </c>
      <c r="AR31" s="280">
        <f t="shared" si="12"/>
        <v>0</v>
      </c>
      <c r="AS31" s="278">
        <f t="shared" si="13"/>
        <v>0</v>
      </c>
      <c r="AT31" s="238">
        <f t="shared" si="14"/>
        <v>0</v>
      </c>
    </row>
    <row r="32" spans="1:46" s="153" customFormat="1" ht="14.4" x14ac:dyDescent="0.55000000000000004">
      <c r="A32" s="173"/>
      <c r="B32" s="295" t="s">
        <v>1597</v>
      </c>
      <c r="C32" s="208"/>
      <c r="D32" s="166"/>
      <c r="E32" s="218"/>
      <c r="F32" s="164"/>
      <c r="G32" s="164"/>
      <c r="H32" s="153" t="s">
        <v>76</v>
      </c>
      <c r="I32" s="185"/>
      <c r="J32" s="185"/>
      <c r="K32" s="185"/>
      <c r="L32" s="185"/>
      <c r="M32" s="185"/>
      <c r="N32" s="185"/>
      <c r="O32" s="185"/>
      <c r="P32" s="185"/>
      <c r="Q32" s="155"/>
      <c r="R32" s="167"/>
      <c r="S32" s="159" t="str">
        <f t="shared" si="7"/>
        <v>NotI: 0 uncut</v>
      </c>
      <c r="T32" s="171"/>
      <c r="U32" s="171"/>
      <c r="V32" s="169"/>
      <c r="W32" s="226"/>
      <c r="X32" s="207"/>
      <c r="Y32" s="250">
        <f t="shared" si="6"/>
        <v>0</v>
      </c>
      <c r="Z32" s="254"/>
      <c r="AA32" s="219"/>
      <c r="AB32" s="219"/>
      <c r="AC32" s="220" t="str">
        <f t="shared" si="15"/>
        <v/>
      </c>
      <c r="AD32" s="221" t="str">
        <f t="shared" si="1"/>
        <v/>
      </c>
      <c r="AE32" s="222" t="str">
        <f t="shared" si="2"/>
        <v/>
      </c>
      <c r="AF32" s="204"/>
      <c r="AG32" s="220" t="str">
        <f t="shared" si="3"/>
        <v/>
      </c>
      <c r="AH32" s="223" t="str">
        <f t="shared" si="8"/>
        <v/>
      </c>
      <c r="AI32" s="205"/>
      <c r="AJ32" s="221"/>
      <c r="AK32" s="222"/>
      <c r="AL32" s="221"/>
      <c r="AM32" s="274"/>
      <c r="AO32" s="162"/>
      <c r="AP32" s="279" t="str">
        <f t="shared" si="10"/>
        <v>pIG026</v>
      </c>
      <c r="AQ32" s="279">
        <f t="shared" si="11"/>
        <v>0</v>
      </c>
      <c r="AR32" s="280">
        <f t="shared" si="12"/>
        <v>0</v>
      </c>
      <c r="AS32" s="278">
        <f t="shared" si="13"/>
        <v>0</v>
      </c>
      <c r="AT32" s="238">
        <f t="shared" si="14"/>
        <v>0</v>
      </c>
    </row>
    <row r="33" spans="1:46" s="153" customFormat="1" ht="14.4" x14ac:dyDescent="0.55000000000000004">
      <c r="A33" s="173"/>
      <c r="B33" s="295" t="s">
        <v>1598</v>
      </c>
      <c r="C33" s="203"/>
      <c r="D33" s="166"/>
      <c r="E33" s="164"/>
      <c r="F33" s="164"/>
      <c r="G33" s="164"/>
      <c r="H33" s="153" t="s">
        <v>76</v>
      </c>
      <c r="I33" s="185"/>
      <c r="J33" s="185"/>
      <c r="K33" s="185"/>
      <c r="L33" s="185"/>
      <c r="M33" s="185"/>
      <c r="N33" s="185"/>
      <c r="O33" s="185"/>
      <c r="P33" s="185"/>
      <c r="Q33" s="155"/>
      <c r="R33" s="167"/>
      <c r="S33" s="159" t="str">
        <f t="shared" si="7"/>
        <v>NotI: 0 uncut</v>
      </c>
      <c r="T33" s="171"/>
      <c r="U33" s="168"/>
      <c r="V33" s="169"/>
      <c r="W33" s="226"/>
      <c r="X33" s="207"/>
      <c r="Y33" s="250">
        <f t="shared" si="6"/>
        <v>0</v>
      </c>
      <c r="Z33" s="254"/>
      <c r="AA33" s="219"/>
      <c r="AB33" s="219"/>
      <c r="AC33" s="220" t="str">
        <f t="shared" si="15"/>
        <v/>
      </c>
      <c r="AD33" s="221" t="str">
        <f t="shared" si="1"/>
        <v/>
      </c>
      <c r="AE33" s="222" t="str">
        <f t="shared" si="2"/>
        <v/>
      </c>
      <c r="AF33" s="204"/>
      <c r="AG33" s="220" t="str">
        <f t="shared" si="3"/>
        <v/>
      </c>
      <c r="AH33" s="223" t="str">
        <f t="shared" si="8"/>
        <v/>
      </c>
      <c r="AI33" s="205"/>
      <c r="AJ33" s="221"/>
      <c r="AK33" s="222"/>
      <c r="AL33" s="221"/>
      <c r="AM33" s="274"/>
      <c r="AO33" s="162"/>
      <c r="AP33" s="279" t="str">
        <f t="shared" si="10"/>
        <v>pIG027</v>
      </c>
      <c r="AQ33" s="279">
        <f t="shared" si="11"/>
        <v>0</v>
      </c>
      <c r="AR33" s="280">
        <f t="shared" si="12"/>
        <v>0</v>
      </c>
      <c r="AS33" s="278">
        <f t="shared" si="13"/>
        <v>0</v>
      </c>
      <c r="AT33" s="238">
        <f t="shared" si="14"/>
        <v>0</v>
      </c>
    </row>
    <row r="34" spans="1:46" s="153" customFormat="1" ht="14.4" x14ac:dyDescent="0.55000000000000004">
      <c r="A34" s="173"/>
      <c r="B34" s="295" t="s">
        <v>1599</v>
      </c>
      <c r="C34" s="164"/>
      <c r="D34" s="166"/>
      <c r="E34" s="164"/>
      <c r="F34" s="164"/>
      <c r="G34" s="164"/>
      <c r="H34" s="153" t="s">
        <v>76</v>
      </c>
      <c r="I34" s="185"/>
      <c r="J34" s="185"/>
      <c r="K34" s="185"/>
      <c r="L34" s="185"/>
      <c r="M34" s="185"/>
      <c r="N34" s="185"/>
      <c r="O34" s="185"/>
      <c r="P34" s="185"/>
      <c r="Q34" s="155"/>
      <c r="R34" s="167"/>
      <c r="S34" s="159" t="str">
        <f t="shared" si="7"/>
        <v>NotI: 0 uncut</v>
      </c>
      <c r="T34" s="168"/>
      <c r="U34" s="168"/>
      <c r="V34" s="169"/>
      <c r="W34" s="226"/>
      <c r="X34" s="207"/>
      <c r="Y34" s="250">
        <f t="shared" si="6"/>
        <v>0</v>
      </c>
      <c r="Z34" s="254"/>
      <c r="AA34" s="219"/>
      <c r="AB34" s="219"/>
      <c r="AC34" s="220" t="str">
        <f t="shared" si="15"/>
        <v/>
      </c>
      <c r="AD34" s="221" t="str">
        <f t="shared" si="1"/>
        <v/>
      </c>
      <c r="AE34" s="222" t="str">
        <f t="shared" si="2"/>
        <v/>
      </c>
      <c r="AF34" s="204"/>
      <c r="AG34" s="220" t="str">
        <f t="shared" si="3"/>
        <v/>
      </c>
      <c r="AH34" s="223" t="str">
        <f t="shared" si="8"/>
        <v/>
      </c>
      <c r="AI34" s="205"/>
      <c r="AJ34" s="221"/>
      <c r="AK34" s="222"/>
      <c r="AL34" s="221"/>
      <c r="AM34" s="274"/>
      <c r="AO34" s="162"/>
      <c r="AP34" s="279" t="str">
        <f t="shared" si="10"/>
        <v>pIG028</v>
      </c>
      <c r="AQ34" s="279">
        <f t="shared" si="11"/>
        <v>0</v>
      </c>
      <c r="AR34" s="280">
        <f t="shared" si="12"/>
        <v>0</v>
      </c>
      <c r="AS34" s="278">
        <f t="shared" si="13"/>
        <v>0</v>
      </c>
      <c r="AT34" s="238">
        <f t="shared" si="14"/>
        <v>0</v>
      </c>
    </row>
    <row r="35" spans="1:46" s="153" customFormat="1" ht="14.4" x14ac:dyDescent="0.55000000000000004">
      <c r="A35" s="173"/>
      <c r="B35" s="295" t="s">
        <v>1600</v>
      </c>
      <c r="C35" s="203"/>
      <c r="D35" s="166"/>
      <c r="E35" s="208"/>
      <c r="F35" s="208"/>
      <c r="G35" s="166"/>
      <c r="H35" s="153" t="s">
        <v>76</v>
      </c>
      <c r="I35" s="185"/>
      <c r="J35" s="185"/>
      <c r="K35" s="185"/>
      <c r="L35" s="185"/>
      <c r="M35" s="185"/>
      <c r="N35" s="185"/>
      <c r="O35" s="185"/>
      <c r="P35" s="185"/>
      <c r="Q35" s="155"/>
      <c r="R35" s="167"/>
      <c r="S35" s="159" t="str">
        <f t="shared" si="7"/>
        <v>NotI: 0 uncut</v>
      </c>
      <c r="T35" s="171"/>
      <c r="U35" s="168"/>
      <c r="V35" s="169"/>
      <c r="W35" s="226"/>
      <c r="X35" s="207"/>
      <c r="Y35" s="250">
        <f t="shared" si="6"/>
        <v>0</v>
      </c>
      <c r="Z35" s="254"/>
      <c r="AA35" s="219"/>
      <c r="AB35" s="219"/>
      <c r="AC35" s="220" t="str">
        <f t="shared" si="15"/>
        <v/>
      </c>
      <c r="AD35" s="221" t="str">
        <f t="shared" si="1"/>
        <v/>
      </c>
      <c r="AE35" s="222" t="str">
        <f t="shared" si="2"/>
        <v/>
      </c>
      <c r="AF35" s="204"/>
      <c r="AG35" s="220" t="str">
        <f t="shared" si="3"/>
        <v/>
      </c>
      <c r="AH35" s="223" t="str">
        <f t="shared" si="8"/>
        <v/>
      </c>
      <c r="AI35" s="205"/>
      <c r="AJ35" s="221"/>
      <c r="AK35" s="222"/>
      <c r="AL35" s="221"/>
      <c r="AM35" s="274"/>
      <c r="AO35" s="162"/>
      <c r="AP35" s="279" t="str">
        <f t="shared" si="10"/>
        <v>pIG029</v>
      </c>
      <c r="AQ35" s="279">
        <f t="shared" si="11"/>
        <v>0</v>
      </c>
      <c r="AR35" s="280">
        <f t="shared" si="12"/>
        <v>0</v>
      </c>
      <c r="AS35" s="278">
        <f t="shared" si="13"/>
        <v>0</v>
      </c>
      <c r="AT35" s="238">
        <f t="shared" si="14"/>
        <v>0</v>
      </c>
    </row>
    <row r="36" spans="1:46" s="153" customFormat="1" ht="14.4" x14ac:dyDescent="0.55000000000000004">
      <c r="A36" s="173"/>
      <c r="B36" s="295" t="s">
        <v>1601</v>
      </c>
      <c r="C36" s="164"/>
      <c r="D36" s="164"/>
      <c r="E36" s="166"/>
      <c r="F36" s="164"/>
      <c r="G36" s="164"/>
      <c r="H36" s="153" t="s">
        <v>76</v>
      </c>
      <c r="I36" s="185"/>
      <c r="J36" s="185"/>
      <c r="K36" s="185"/>
      <c r="L36" s="185"/>
      <c r="M36" s="185"/>
      <c r="N36" s="185"/>
      <c r="O36" s="185"/>
      <c r="P36" s="185"/>
      <c r="Q36" s="155"/>
      <c r="R36" s="167"/>
      <c r="S36" s="159" t="str">
        <f t="shared" si="7"/>
        <v>NotI: 0 uncut</v>
      </c>
      <c r="T36" s="171"/>
      <c r="U36" s="168"/>
      <c r="V36" s="169"/>
      <c r="W36" s="226"/>
      <c r="X36" s="207"/>
      <c r="Y36" s="250">
        <f t="shared" si="6"/>
        <v>0</v>
      </c>
      <c r="Z36" s="254"/>
      <c r="AA36" s="219"/>
      <c r="AB36" s="219"/>
      <c r="AC36" s="220" t="str">
        <f t="shared" si="15"/>
        <v/>
      </c>
      <c r="AD36" s="221" t="str">
        <f t="shared" si="1"/>
        <v/>
      </c>
      <c r="AE36" s="222" t="str">
        <f t="shared" si="2"/>
        <v/>
      </c>
      <c r="AF36" s="204"/>
      <c r="AG36" s="220" t="str">
        <f t="shared" si="3"/>
        <v/>
      </c>
      <c r="AH36" s="223" t="str">
        <f t="shared" si="8"/>
        <v/>
      </c>
      <c r="AI36" s="205"/>
      <c r="AJ36" s="221"/>
      <c r="AK36" s="222"/>
      <c r="AL36" s="221"/>
      <c r="AM36" s="274"/>
      <c r="AO36" s="162"/>
      <c r="AP36" s="279" t="str">
        <f t="shared" si="10"/>
        <v>pIG030</v>
      </c>
      <c r="AQ36" s="279">
        <f t="shared" si="11"/>
        <v>0</v>
      </c>
      <c r="AR36" s="280">
        <f t="shared" si="12"/>
        <v>0</v>
      </c>
      <c r="AS36" s="278">
        <f t="shared" si="13"/>
        <v>0</v>
      </c>
      <c r="AT36" s="238">
        <f t="shared" si="14"/>
        <v>0</v>
      </c>
    </row>
    <row r="37" spans="1:46" s="153" customFormat="1" ht="14.4" x14ac:dyDescent="0.55000000000000004">
      <c r="A37" s="173"/>
      <c r="B37" s="295" t="s">
        <v>1602</v>
      </c>
      <c r="C37" s="164"/>
      <c r="D37" s="203"/>
      <c r="E37" s="166"/>
      <c r="F37" s="164"/>
      <c r="G37" s="164"/>
      <c r="H37" s="153" t="s">
        <v>76</v>
      </c>
      <c r="I37" s="185"/>
      <c r="J37" s="185"/>
      <c r="K37" s="185"/>
      <c r="L37" s="185"/>
      <c r="M37" s="185"/>
      <c r="N37" s="185"/>
      <c r="O37" s="185"/>
      <c r="P37" s="185"/>
      <c r="Q37" s="155"/>
      <c r="R37" s="167"/>
      <c r="S37" s="159" t="str">
        <f t="shared" si="7"/>
        <v>NotI: 0 uncut</v>
      </c>
      <c r="T37" s="171"/>
      <c r="U37" s="168"/>
      <c r="V37" s="169"/>
      <c r="W37" s="226"/>
      <c r="X37" s="207"/>
      <c r="Y37" s="250">
        <f t="shared" si="6"/>
        <v>0</v>
      </c>
      <c r="Z37" s="254"/>
      <c r="AA37" s="219"/>
      <c r="AB37" s="219"/>
      <c r="AC37" s="220" t="str">
        <f t="shared" si="15"/>
        <v/>
      </c>
      <c r="AD37" s="221" t="str">
        <f t="shared" si="1"/>
        <v/>
      </c>
      <c r="AE37" s="222" t="str">
        <f t="shared" si="2"/>
        <v/>
      </c>
      <c r="AF37" s="204"/>
      <c r="AG37" s="220" t="str">
        <f t="shared" si="3"/>
        <v/>
      </c>
      <c r="AH37" s="223" t="str">
        <f t="shared" si="8"/>
        <v/>
      </c>
      <c r="AI37" s="205"/>
      <c r="AJ37" s="221"/>
      <c r="AK37" s="222"/>
      <c r="AL37" s="221"/>
      <c r="AM37" s="274"/>
      <c r="AO37" s="162"/>
      <c r="AP37" s="279" t="str">
        <f t="shared" si="10"/>
        <v>pIG031</v>
      </c>
      <c r="AQ37" s="279">
        <f t="shared" si="11"/>
        <v>0</v>
      </c>
      <c r="AR37" s="280">
        <f t="shared" si="12"/>
        <v>0</v>
      </c>
      <c r="AS37" s="278">
        <f t="shared" si="13"/>
        <v>0</v>
      </c>
      <c r="AT37" s="238">
        <f t="shared" si="14"/>
        <v>0</v>
      </c>
    </row>
    <row r="38" spans="1:46" s="153" customFormat="1" ht="14.4" x14ac:dyDescent="0.55000000000000004">
      <c r="A38" s="173"/>
      <c r="B38" s="295" t="s">
        <v>1603</v>
      </c>
      <c r="C38" s="164"/>
      <c r="D38" s="164"/>
      <c r="E38" s="164"/>
      <c r="F38" s="164"/>
      <c r="G38" s="164"/>
      <c r="H38" s="153" t="s">
        <v>76</v>
      </c>
      <c r="I38" s="185"/>
      <c r="J38" s="185"/>
      <c r="K38" s="185"/>
      <c r="L38" s="185"/>
      <c r="M38" s="185"/>
      <c r="N38" s="185"/>
      <c r="O38" s="185"/>
      <c r="P38" s="185"/>
      <c r="Q38" s="155"/>
      <c r="R38" s="167"/>
      <c r="S38" s="159" t="str">
        <f t="shared" si="7"/>
        <v>NotI: 0 uncut</v>
      </c>
      <c r="T38" s="171"/>
      <c r="U38" s="168"/>
      <c r="V38" s="169"/>
      <c r="W38" s="226"/>
      <c r="X38" s="207"/>
      <c r="Y38" s="250">
        <f t="shared" si="6"/>
        <v>0</v>
      </c>
      <c r="Z38" s="254"/>
      <c r="AA38" s="219"/>
      <c r="AB38" s="219"/>
      <c r="AC38" s="220" t="str">
        <f t="shared" si="15"/>
        <v/>
      </c>
      <c r="AD38" s="221" t="str">
        <f t="shared" si="1"/>
        <v/>
      </c>
      <c r="AE38" s="222" t="str">
        <f t="shared" si="2"/>
        <v/>
      </c>
      <c r="AF38" s="204"/>
      <c r="AG38" s="220" t="str">
        <f t="shared" si="3"/>
        <v/>
      </c>
      <c r="AH38" s="223" t="str">
        <f t="shared" si="8"/>
        <v/>
      </c>
      <c r="AI38" s="205"/>
      <c r="AJ38" s="221"/>
      <c r="AK38" s="222"/>
      <c r="AL38" s="221"/>
      <c r="AM38" s="274"/>
      <c r="AO38" s="162"/>
      <c r="AP38" s="279" t="str">
        <f t="shared" si="10"/>
        <v>pIG032</v>
      </c>
      <c r="AQ38" s="279">
        <f t="shared" si="11"/>
        <v>0</v>
      </c>
      <c r="AR38" s="280">
        <f t="shared" si="12"/>
        <v>0</v>
      </c>
      <c r="AS38" s="278">
        <f t="shared" si="13"/>
        <v>0</v>
      </c>
      <c r="AT38" s="238">
        <f t="shared" si="14"/>
        <v>0</v>
      </c>
    </row>
    <row r="39" spans="1:46" s="153" customFormat="1" ht="14.4" x14ac:dyDescent="0.55000000000000004">
      <c r="A39" s="173"/>
      <c r="B39" s="295" t="s">
        <v>1604</v>
      </c>
      <c r="C39" s="203"/>
      <c r="D39" s="164"/>
      <c r="E39" s="164"/>
      <c r="F39" s="164"/>
      <c r="G39" s="164"/>
      <c r="H39" s="153" t="s">
        <v>76</v>
      </c>
      <c r="I39" s="185"/>
      <c r="J39" s="185"/>
      <c r="K39" s="185"/>
      <c r="L39" s="185"/>
      <c r="M39" s="185"/>
      <c r="N39" s="185"/>
      <c r="O39" s="185"/>
      <c r="P39" s="185"/>
      <c r="Q39" s="155"/>
      <c r="R39" s="167"/>
      <c r="S39" s="159" t="str">
        <f t="shared" si="7"/>
        <v>NotI: 0 uncut</v>
      </c>
      <c r="T39" s="171"/>
      <c r="U39" s="168"/>
      <c r="V39" s="169"/>
      <c r="W39" s="226"/>
      <c r="X39" s="207"/>
      <c r="Y39" s="250">
        <f t="shared" ref="Y39:Y70" si="16">IF(X39=" ","",LEN(X39))</f>
        <v>0</v>
      </c>
      <c r="Z39" s="254"/>
      <c r="AA39" s="219"/>
      <c r="AB39" s="219"/>
      <c r="AC39" s="220" t="str">
        <f t="shared" si="15"/>
        <v/>
      </c>
      <c r="AD39" s="221" t="str">
        <f t="shared" si="1"/>
        <v/>
      </c>
      <c r="AE39" s="222" t="str">
        <f t="shared" si="2"/>
        <v/>
      </c>
      <c r="AF39" s="204"/>
      <c r="AG39" s="220" t="str">
        <f t="shared" si="3"/>
        <v/>
      </c>
      <c r="AH39" s="223" t="str">
        <f t="shared" si="8"/>
        <v/>
      </c>
      <c r="AI39" s="205"/>
      <c r="AJ39" s="221"/>
      <c r="AK39" s="222"/>
      <c r="AL39" s="221"/>
      <c r="AM39" s="274"/>
      <c r="AO39" s="162"/>
      <c r="AP39" s="279" t="str">
        <f t="shared" si="10"/>
        <v>pIG033</v>
      </c>
      <c r="AQ39" s="279">
        <f t="shared" si="11"/>
        <v>0</v>
      </c>
      <c r="AR39" s="280">
        <f t="shared" si="12"/>
        <v>0</v>
      </c>
      <c r="AS39" s="278">
        <f t="shared" si="13"/>
        <v>0</v>
      </c>
      <c r="AT39" s="238">
        <f t="shared" si="14"/>
        <v>0</v>
      </c>
    </row>
    <row r="40" spans="1:46" s="153" customFormat="1" ht="14.4" x14ac:dyDescent="0.55000000000000004">
      <c r="A40" s="173"/>
      <c r="B40" s="295" t="s">
        <v>1605</v>
      </c>
      <c r="C40" s="203"/>
      <c r="D40" s="166"/>
      <c r="E40" s="203"/>
      <c r="F40" s="164"/>
      <c r="G40" s="164"/>
      <c r="H40" s="153" t="s">
        <v>76</v>
      </c>
      <c r="I40" s="185"/>
      <c r="J40" s="185"/>
      <c r="K40" s="185"/>
      <c r="L40" s="185"/>
      <c r="M40" s="185"/>
      <c r="N40" s="185"/>
      <c r="O40" s="185"/>
      <c r="P40" s="185"/>
      <c r="Q40" s="155"/>
      <c r="R40" s="167"/>
      <c r="S40" s="159" t="str">
        <f t="shared" si="7"/>
        <v>NotI: 0 uncut</v>
      </c>
      <c r="T40" s="175"/>
      <c r="V40" s="169"/>
      <c r="W40" s="226"/>
      <c r="X40" s="207"/>
      <c r="Y40" s="250">
        <f t="shared" si="16"/>
        <v>0</v>
      </c>
      <c r="Z40" s="254"/>
      <c r="AA40" s="219"/>
      <c r="AB40" s="219"/>
      <c r="AC40" s="220" t="str">
        <f t="shared" si="15"/>
        <v/>
      </c>
      <c r="AD40" s="221" t="str">
        <f t="shared" si="1"/>
        <v/>
      </c>
      <c r="AE40" s="222" t="str">
        <f t="shared" si="2"/>
        <v/>
      </c>
      <c r="AF40" s="204"/>
      <c r="AG40" s="220" t="str">
        <f t="shared" si="3"/>
        <v/>
      </c>
      <c r="AH40" s="223" t="str">
        <f t="shared" si="8"/>
        <v/>
      </c>
      <c r="AI40" s="205"/>
      <c r="AJ40" s="221"/>
      <c r="AK40" s="222"/>
      <c r="AL40" s="221"/>
      <c r="AM40" s="274"/>
      <c r="AO40" s="162"/>
      <c r="AP40" s="279" t="str">
        <f t="shared" si="10"/>
        <v>pIG034</v>
      </c>
      <c r="AQ40" s="279">
        <f t="shared" si="11"/>
        <v>0</v>
      </c>
      <c r="AR40" s="280">
        <f t="shared" si="12"/>
        <v>0</v>
      </c>
      <c r="AS40" s="278">
        <f t="shared" si="13"/>
        <v>0</v>
      </c>
      <c r="AT40" s="238">
        <f t="shared" si="14"/>
        <v>0</v>
      </c>
    </row>
    <row r="41" spans="1:46" s="153" customFormat="1" ht="14.4" x14ac:dyDescent="0.55000000000000004">
      <c r="A41" s="173"/>
      <c r="B41" s="295" t="s">
        <v>1606</v>
      </c>
      <c r="C41" s="203"/>
      <c r="D41" s="164"/>
      <c r="E41" s="164"/>
      <c r="F41" s="164"/>
      <c r="G41" s="164"/>
      <c r="H41" s="153" t="s">
        <v>76</v>
      </c>
      <c r="I41" s="185"/>
      <c r="J41" s="185"/>
      <c r="K41" s="185"/>
      <c r="L41" s="185"/>
      <c r="M41" s="185"/>
      <c r="N41" s="185"/>
      <c r="O41" s="185"/>
      <c r="P41" s="185"/>
      <c r="Q41" s="155"/>
      <c r="R41" s="167"/>
      <c r="S41" s="159" t="str">
        <f t="shared" si="7"/>
        <v>NotI: 0 uncut</v>
      </c>
      <c r="T41" s="168"/>
      <c r="V41" s="169"/>
      <c r="W41" s="226"/>
      <c r="X41" s="207"/>
      <c r="Y41" s="250">
        <f t="shared" si="16"/>
        <v>0</v>
      </c>
      <c r="Z41" s="254"/>
      <c r="AA41" s="219"/>
      <c r="AB41" s="219"/>
      <c r="AC41" s="220" t="str">
        <f t="shared" si="15"/>
        <v/>
      </c>
      <c r="AD41" s="221" t="str">
        <f t="shared" si="1"/>
        <v/>
      </c>
      <c r="AE41" s="222" t="str">
        <f t="shared" si="2"/>
        <v/>
      </c>
      <c r="AF41" s="204"/>
      <c r="AG41" s="220" t="str">
        <f t="shared" si="3"/>
        <v/>
      </c>
      <c r="AH41" s="223" t="str">
        <f t="shared" si="8"/>
        <v/>
      </c>
      <c r="AI41" s="205"/>
      <c r="AJ41" s="221"/>
      <c r="AK41" s="222"/>
      <c r="AL41" s="221"/>
      <c r="AM41" s="274"/>
      <c r="AO41" s="162"/>
      <c r="AP41" s="279" t="str">
        <f t="shared" si="10"/>
        <v>pIG035</v>
      </c>
      <c r="AQ41" s="279">
        <f t="shared" si="11"/>
        <v>0</v>
      </c>
      <c r="AR41" s="280">
        <f t="shared" si="12"/>
        <v>0</v>
      </c>
      <c r="AS41" s="278">
        <f t="shared" si="13"/>
        <v>0</v>
      </c>
      <c r="AT41" s="238">
        <f t="shared" si="14"/>
        <v>0</v>
      </c>
    </row>
    <row r="42" spans="1:46" s="153" customFormat="1" ht="14.4" x14ac:dyDescent="0.55000000000000004">
      <c r="A42" s="173"/>
      <c r="B42" s="295" t="s">
        <v>1607</v>
      </c>
      <c r="C42" s="105"/>
      <c r="D42" s="174"/>
      <c r="E42" s="166"/>
      <c r="F42" s="164"/>
      <c r="G42" s="164"/>
      <c r="H42" s="153" t="s">
        <v>76</v>
      </c>
      <c r="I42" s="185"/>
      <c r="J42" s="185"/>
      <c r="K42" s="185"/>
      <c r="L42" s="185"/>
      <c r="M42" s="185"/>
      <c r="N42" s="185"/>
      <c r="O42" s="185"/>
      <c r="P42" s="185"/>
      <c r="Q42" s="155"/>
      <c r="R42" s="167"/>
      <c r="S42" s="159" t="str">
        <f t="shared" si="7"/>
        <v>NotI: 0 uncut</v>
      </c>
      <c r="T42" s="184"/>
      <c r="U42" s="168"/>
      <c r="V42" s="169"/>
      <c r="W42" s="226"/>
      <c r="X42" s="207"/>
      <c r="Y42" s="250">
        <f t="shared" si="16"/>
        <v>0</v>
      </c>
      <c r="Z42" s="254"/>
      <c r="AA42" s="219"/>
      <c r="AB42" s="219"/>
      <c r="AC42" s="220" t="str">
        <f t="shared" si="15"/>
        <v/>
      </c>
      <c r="AD42" s="221" t="str">
        <f t="shared" si="1"/>
        <v/>
      </c>
      <c r="AE42" s="222" t="str">
        <f t="shared" si="2"/>
        <v/>
      </c>
      <c r="AF42" s="204"/>
      <c r="AG42" s="220" t="str">
        <f t="shared" si="3"/>
        <v/>
      </c>
      <c r="AH42" s="223" t="str">
        <f t="shared" si="8"/>
        <v/>
      </c>
      <c r="AI42" s="205"/>
      <c r="AJ42" s="221"/>
      <c r="AK42" s="222"/>
      <c r="AL42" s="221"/>
      <c r="AM42" s="274"/>
      <c r="AO42" s="162"/>
      <c r="AP42" s="279" t="str">
        <f t="shared" si="10"/>
        <v>pIG036</v>
      </c>
      <c r="AQ42" s="279">
        <f t="shared" si="11"/>
        <v>0</v>
      </c>
      <c r="AR42" s="280">
        <f t="shared" si="12"/>
        <v>0</v>
      </c>
      <c r="AS42" s="278">
        <f t="shared" si="13"/>
        <v>0</v>
      </c>
      <c r="AT42" s="238">
        <f t="shared" si="14"/>
        <v>0</v>
      </c>
    </row>
    <row r="43" spans="1:46" s="153" customFormat="1" ht="14.4" x14ac:dyDescent="0.55000000000000004">
      <c r="A43" s="173"/>
      <c r="B43" s="295" t="s">
        <v>1608</v>
      </c>
      <c r="C43" s="105"/>
      <c r="D43" s="174"/>
      <c r="E43" s="208"/>
      <c r="F43" s="164"/>
      <c r="G43" s="164"/>
      <c r="H43" s="153" t="s">
        <v>76</v>
      </c>
      <c r="I43" s="185"/>
      <c r="J43" s="185"/>
      <c r="K43" s="185"/>
      <c r="L43" s="185"/>
      <c r="M43" s="185"/>
      <c r="N43" s="185"/>
      <c r="O43" s="185"/>
      <c r="P43" s="185"/>
      <c r="Q43" s="155"/>
      <c r="R43" s="167"/>
      <c r="S43" s="159" t="str">
        <f t="shared" si="7"/>
        <v>NotI: 0 uncut</v>
      </c>
      <c r="T43" s="171"/>
      <c r="U43" s="168"/>
      <c r="V43" s="169"/>
      <c r="W43" s="226"/>
      <c r="X43" s="207"/>
      <c r="Y43" s="250">
        <f t="shared" si="16"/>
        <v>0</v>
      </c>
      <c r="Z43" s="254"/>
      <c r="AA43" s="219"/>
      <c r="AB43" s="219"/>
      <c r="AC43" s="220" t="str">
        <f t="shared" si="15"/>
        <v/>
      </c>
      <c r="AD43" s="221" t="str">
        <f t="shared" si="1"/>
        <v/>
      </c>
      <c r="AE43" s="222" t="str">
        <f t="shared" si="2"/>
        <v/>
      </c>
      <c r="AF43" s="204"/>
      <c r="AG43" s="220" t="str">
        <f t="shared" si="3"/>
        <v/>
      </c>
      <c r="AH43" s="223" t="str">
        <f t="shared" si="8"/>
        <v/>
      </c>
      <c r="AI43" s="205"/>
      <c r="AJ43" s="221"/>
      <c r="AK43" s="222"/>
      <c r="AL43" s="221"/>
      <c r="AM43" s="274"/>
      <c r="AO43" s="162"/>
      <c r="AP43" s="279" t="str">
        <f t="shared" si="10"/>
        <v>pIG037</v>
      </c>
      <c r="AQ43" s="279">
        <f t="shared" si="11"/>
        <v>0</v>
      </c>
      <c r="AR43" s="280">
        <f t="shared" si="12"/>
        <v>0</v>
      </c>
      <c r="AS43" s="278">
        <f t="shared" si="13"/>
        <v>0</v>
      </c>
      <c r="AT43" s="238">
        <f t="shared" si="14"/>
        <v>0</v>
      </c>
    </row>
    <row r="44" spans="1:46" s="153" customFormat="1" ht="14.4" x14ac:dyDescent="0.55000000000000004">
      <c r="A44" s="173"/>
      <c r="B44" s="295" t="s">
        <v>1609</v>
      </c>
      <c r="C44" s="105"/>
      <c r="D44" s="209"/>
      <c r="E44" s="208"/>
      <c r="F44" s="164"/>
      <c r="G44" s="164"/>
      <c r="H44" s="153" t="s">
        <v>76</v>
      </c>
      <c r="I44" s="185"/>
      <c r="J44" s="185"/>
      <c r="K44" s="185"/>
      <c r="L44" s="185"/>
      <c r="M44" s="185"/>
      <c r="N44" s="185"/>
      <c r="O44" s="185"/>
      <c r="P44" s="185"/>
      <c r="Q44" s="155"/>
      <c r="R44" s="167"/>
      <c r="S44" s="159" t="str">
        <f t="shared" si="7"/>
        <v>NotI: 0 uncut</v>
      </c>
      <c r="T44" s="175"/>
      <c r="V44" s="169"/>
      <c r="W44" s="226"/>
      <c r="X44" s="207"/>
      <c r="Y44" s="250">
        <f t="shared" si="16"/>
        <v>0</v>
      </c>
      <c r="Z44" s="254"/>
      <c r="AA44" s="219"/>
      <c r="AB44" s="219"/>
      <c r="AC44" s="220" t="str">
        <f t="shared" si="15"/>
        <v/>
      </c>
      <c r="AD44" s="221" t="str">
        <f t="shared" si="1"/>
        <v/>
      </c>
      <c r="AE44" s="222" t="str">
        <f t="shared" si="2"/>
        <v/>
      </c>
      <c r="AF44" s="204"/>
      <c r="AG44" s="220" t="str">
        <f t="shared" si="3"/>
        <v/>
      </c>
      <c r="AH44" s="223" t="str">
        <f t="shared" si="8"/>
        <v/>
      </c>
      <c r="AI44" s="205"/>
      <c r="AJ44" s="221"/>
      <c r="AK44" s="222"/>
      <c r="AL44" s="221"/>
      <c r="AM44" s="274"/>
      <c r="AO44" s="162"/>
      <c r="AP44" s="279" t="str">
        <f t="shared" si="10"/>
        <v>pIG038</v>
      </c>
      <c r="AQ44" s="279">
        <f t="shared" si="11"/>
        <v>0</v>
      </c>
      <c r="AR44" s="280">
        <f t="shared" si="12"/>
        <v>0</v>
      </c>
      <c r="AS44" s="278">
        <f t="shared" si="13"/>
        <v>0</v>
      </c>
      <c r="AT44" s="238">
        <f t="shared" si="14"/>
        <v>0</v>
      </c>
    </row>
    <row r="45" spans="1:46" s="153" customFormat="1" ht="14.4" x14ac:dyDescent="0.55000000000000004">
      <c r="A45" s="173"/>
      <c r="B45" s="295" t="s">
        <v>1610</v>
      </c>
      <c r="C45" s="105"/>
      <c r="D45" s="209"/>
      <c r="E45" s="208"/>
      <c r="F45" s="164"/>
      <c r="G45" s="164"/>
      <c r="H45" s="153" t="s">
        <v>76</v>
      </c>
      <c r="I45" s="185"/>
      <c r="J45" s="185"/>
      <c r="K45" s="185"/>
      <c r="L45" s="185"/>
      <c r="M45" s="185"/>
      <c r="N45" s="185"/>
      <c r="O45" s="185"/>
      <c r="P45" s="185"/>
      <c r="Q45" s="155"/>
      <c r="R45" s="167"/>
      <c r="S45" s="159" t="str">
        <f t="shared" si="7"/>
        <v>NotI: 0 uncut</v>
      </c>
      <c r="V45" s="169"/>
      <c r="W45" s="226"/>
      <c r="X45" s="207"/>
      <c r="Y45" s="250">
        <f t="shared" si="16"/>
        <v>0</v>
      </c>
      <c r="Z45" s="254"/>
      <c r="AA45" s="219"/>
      <c r="AB45" s="219"/>
      <c r="AC45" s="220" t="str">
        <f t="shared" si="15"/>
        <v/>
      </c>
      <c r="AD45" s="221" t="str">
        <f t="shared" si="1"/>
        <v/>
      </c>
      <c r="AE45" s="222" t="str">
        <f t="shared" si="2"/>
        <v/>
      </c>
      <c r="AF45" s="204"/>
      <c r="AG45" s="220" t="str">
        <f t="shared" si="3"/>
        <v/>
      </c>
      <c r="AH45" s="223" t="str">
        <f t="shared" si="8"/>
        <v/>
      </c>
      <c r="AI45" s="205"/>
      <c r="AJ45" s="221"/>
      <c r="AK45" s="222"/>
      <c r="AL45" s="221"/>
      <c r="AM45" s="274"/>
      <c r="AO45" s="162"/>
      <c r="AP45" s="279" t="str">
        <f t="shared" si="10"/>
        <v>pIG039</v>
      </c>
      <c r="AQ45" s="279">
        <f t="shared" si="11"/>
        <v>0</v>
      </c>
      <c r="AR45" s="280">
        <f t="shared" si="12"/>
        <v>0</v>
      </c>
      <c r="AS45" s="278">
        <f t="shared" si="13"/>
        <v>0</v>
      </c>
      <c r="AT45" s="238">
        <f t="shared" si="14"/>
        <v>0</v>
      </c>
    </row>
    <row r="46" spans="1:46" s="153" customFormat="1" ht="14.4" x14ac:dyDescent="0.55000000000000004">
      <c r="A46" s="173"/>
      <c r="B46" s="295" t="s">
        <v>1611</v>
      </c>
      <c r="C46" s="164"/>
      <c r="D46" s="174"/>
      <c r="E46" s="166"/>
      <c r="F46" s="164"/>
      <c r="G46" s="164"/>
      <c r="H46" s="153" t="s">
        <v>76</v>
      </c>
      <c r="I46" s="185"/>
      <c r="J46" s="185"/>
      <c r="K46" s="185"/>
      <c r="L46" s="185"/>
      <c r="M46" s="185"/>
      <c r="N46" s="185"/>
      <c r="O46" s="185"/>
      <c r="P46" s="185"/>
      <c r="Q46" s="155"/>
      <c r="R46" s="167"/>
      <c r="S46" s="159" t="str">
        <f t="shared" si="7"/>
        <v>NotI: 0 uncut</v>
      </c>
      <c r="T46" s="171"/>
      <c r="U46" s="171"/>
      <c r="V46" s="169"/>
      <c r="W46" s="226"/>
      <c r="X46" s="207"/>
      <c r="Y46" s="250">
        <f t="shared" si="16"/>
        <v>0</v>
      </c>
      <c r="Z46" s="254"/>
      <c r="AA46" s="219"/>
      <c r="AB46" s="219"/>
      <c r="AC46" s="220" t="str">
        <f t="shared" si="15"/>
        <v/>
      </c>
      <c r="AD46" s="221" t="str">
        <f t="shared" si="1"/>
        <v/>
      </c>
      <c r="AE46" s="222" t="str">
        <f t="shared" si="2"/>
        <v/>
      </c>
      <c r="AF46" s="204"/>
      <c r="AG46" s="220" t="str">
        <f t="shared" si="3"/>
        <v/>
      </c>
      <c r="AH46" s="223" t="str">
        <f t="shared" si="8"/>
        <v/>
      </c>
      <c r="AI46" s="205"/>
      <c r="AJ46" s="221"/>
      <c r="AK46" s="222"/>
      <c r="AL46" s="221"/>
      <c r="AM46" s="274"/>
      <c r="AO46" s="162"/>
      <c r="AP46" s="279" t="str">
        <f t="shared" si="10"/>
        <v>pIG040</v>
      </c>
      <c r="AQ46" s="279">
        <f t="shared" si="11"/>
        <v>0</v>
      </c>
      <c r="AR46" s="280">
        <f t="shared" si="12"/>
        <v>0</v>
      </c>
      <c r="AS46" s="278">
        <f t="shared" si="13"/>
        <v>0</v>
      </c>
      <c r="AT46" s="238">
        <f t="shared" si="14"/>
        <v>0</v>
      </c>
    </row>
    <row r="47" spans="1:46" s="153" customFormat="1" ht="14.4" x14ac:dyDescent="0.55000000000000004">
      <c r="A47" s="173"/>
      <c r="B47" s="295" t="s">
        <v>1612</v>
      </c>
      <c r="C47" s="164"/>
      <c r="D47" s="164"/>
      <c r="E47" s="164"/>
      <c r="F47" s="166"/>
      <c r="G47" s="166"/>
      <c r="H47" s="153" t="s">
        <v>76</v>
      </c>
      <c r="I47" s="185"/>
      <c r="J47" s="185"/>
      <c r="K47" s="185"/>
      <c r="L47" s="185"/>
      <c r="M47" s="185"/>
      <c r="N47" s="185"/>
      <c r="O47" s="185"/>
      <c r="P47" s="185"/>
      <c r="Q47" s="155"/>
      <c r="R47" s="167"/>
      <c r="S47" s="159" t="str">
        <f t="shared" si="7"/>
        <v>NotI: 0 uncut</v>
      </c>
      <c r="T47" s="175"/>
      <c r="U47" s="168"/>
      <c r="V47" s="169"/>
      <c r="W47" s="226"/>
      <c r="X47" s="207"/>
      <c r="Y47" s="250">
        <f t="shared" si="16"/>
        <v>0</v>
      </c>
      <c r="Z47" s="254"/>
      <c r="AA47" s="219"/>
      <c r="AB47" s="219"/>
      <c r="AC47" s="220" t="str">
        <f t="shared" si="15"/>
        <v/>
      </c>
      <c r="AD47" s="221" t="str">
        <f t="shared" si="1"/>
        <v/>
      </c>
      <c r="AE47" s="222" t="str">
        <f t="shared" si="2"/>
        <v/>
      </c>
      <c r="AF47" s="204"/>
      <c r="AG47" s="220" t="str">
        <f t="shared" si="3"/>
        <v/>
      </c>
      <c r="AH47" s="223" t="str">
        <f t="shared" si="8"/>
        <v/>
      </c>
      <c r="AI47" s="205"/>
      <c r="AJ47" s="221"/>
      <c r="AK47" s="222"/>
      <c r="AL47" s="221"/>
      <c r="AM47" s="274"/>
      <c r="AO47" s="162"/>
      <c r="AP47" s="279" t="str">
        <f t="shared" si="10"/>
        <v>pIG041</v>
      </c>
      <c r="AQ47" s="279">
        <f t="shared" si="11"/>
        <v>0</v>
      </c>
      <c r="AR47" s="280">
        <f t="shared" si="12"/>
        <v>0</v>
      </c>
      <c r="AS47" s="278">
        <f t="shared" si="13"/>
        <v>0</v>
      </c>
      <c r="AT47" s="238">
        <f t="shared" si="14"/>
        <v>0</v>
      </c>
    </row>
    <row r="48" spans="1:46" s="153" customFormat="1" ht="14.4" x14ac:dyDescent="0.55000000000000004">
      <c r="A48" s="173"/>
      <c r="B48" s="295" t="s">
        <v>1613</v>
      </c>
      <c r="C48" s="164"/>
      <c r="D48" s="164"/>
      <c r="E48" s="164"/>
      <c r="F48" s="166"/>
      <c r="G48" s="166"/>
      <c r="H48" s="153" t="s">
        <v>76</v>
      </c>
      <c r="I48" s="185"/>
      <c r="J48" s="185"/>
      <c r="K48" s="185"/>
      <c r="L48" s="185"/>
      <c r="M48" s="185"/>
      <c r="N48" s="185"/>
      <c r="O48" s="185"/>
      <c r="P48" s="185"/>
      <c r="Q48" s="155"/>
      <c r="R48" s="167"/>
      <c r="S48" s="159" t="str">
        <f t="shared" si="7"/>
        <v>NotI: 0 uncut</v>
      </c>
      <c r="T48" s="171"/>
      <c r="U48" s="168"/>
      <c r="V48" s="169"/>
      <c r="W48" s="226"/>
      <c r="X48" s="207"/>
      <c r="Y48" s="250">
        <f t="shared" si="16"/>
        <v>0</v>
      </c>
      <c r="Z48" s="254"/>
      <c r="AA48" s="219"/>
      <c r="AB48" s="219"/>
      <c r="AC48" s="220" t="str">
        <f t="shared" si="15"/>
        <v/>
      </c>
      <c r="AD48" s="221" t="str">
        <f t="shared" si="1"/>
        <v/>
      </c>
      <c r="AE48" s="222" t="str">
        <f t="shared" si="2"/>
        <v/>
      </c>
      <c r="AF48" s="204"/>
      <c r="AG48" s="220" t="str">
        <f t="shared" si="3"/>
        <v/>
      </c>
      <c r="AH48" s="223" t="str">
        <f t="shared" si="8"/>
        <v/>
      </c>
      <c r="AI48" s="205"/>
      <c r="AJ48" s="221"/>
      <c r="AK48" s="222"/>
      <c r="AL48" s="221"/>
      <c r="AM48" s="274"/>
      <c r="AO48" s="162"/>
      <c r="AP48" s="279" t="str">
        <f t="shared" si="10"/>
        <v>pIG042</v>
      </c>
      <c r="AQ48" s="279">
        <f t="shared" si="11"/>
        <v>0</v>
      </c>
      <c r="AR48" s="280">
        <f t="shared" si="12"/>
        <v>0</v>
      </c>
      <c r="AS48" s="278">
        <f t="shared" si="13"/>
        <v>0</v>
      </c>
      <c r="AT48" s="238">
        <f t="shared" si="14"/>
        <v>0</v>
      </c>
    </row>
    <row r="49" spans="1:46" s="153" customFormat="1" ht="14.4" x14ac:dyDescent="0.55000000000000004">
      <c r="A49" s="173"/>
      <c r="B49" s="295" t="s">
        <v>1614</v>
      </c>
      <c r="C49" s="164"/>
      <c r="D49" s="164"/>
      <c r="E49" s="164"/>
      <c r="F49" s="166"/>
      <c r="G49" s="166"/>
      <c r="H49" s="153" t="s">
        <v>76</v>
      </c>
      <c r="I49" s="185"/>
      <c r="J49" s="185"/>
      <c r="K49" s="185"/>
      <c r="L49" s="185"/>
      <c r="M49" s="185"/>
      <c r="N49" s="185"/>
      <c r="O49" s="185"/>
      <c r="P49" s="185"/>
      <c r="Q49" s="155"/>
      <c r="R49" s="167"/>
      <c r="S49" s="159" t="str">
        <f t="shared" si="7"/>
        <v>NotI: 0 uncut</v>
      </c>
      <c r="U49" s="168"/>
      <c r="V49" s="169"/>
      <c r="W49" s="226"/>
      <c r="X49" s="207"/>
      <c r="Y49" s="250">
        <f t="shared" si="16"/>
        <v>0</v>
      </c>
      <c r="Z49" s="254"/>
      <c r="AA49" s="219"/>
      <c r="AB49" s="219"/>
      <c r="AC49" s="220" t="str">
        <f t="shared" si="15"/>
        <v/>
      </c>
      <c r="AD49" s="221" t="str">
        <f t="shared" si="1"/>
        <v/>
      </c>
      <c r="AE49" s="222" t="str">
        <f t="shared" si="2"/>
        <v/>
      </c>
      <c r="AF49" s="204"/>
      <c r="AG49" s="220" t="str">
        <f t="shared" si="3"/>
        <v/>
      </c>
      <c r="AH49" s="223" t="str">
        <f t="shared" si="8"/>
        <v/>
      </c>
      <c r="AI49" s="205"/>
      <c r="AJ49" s="221"/>
      <c r="AK49" s="222"/>
      <c r="AL49" s="221"/>
      <c r="AM49" s="274"/>
      <c r="AO49" s="162"/>
      <c r="AP49" s="279" t="str">
        <f t="shared" si="10"/>
        <v>pIG043</v>
      </c>
      <c r="AQ49" s="279">
        <f t="shared" si="11"/>
        <v>0</v>
      </c>
      <c r="AR49" s="280">
        <f t="shared" si="12"/>
        <v>0</v>
      </c>
      <c r="AS49" s="278">
        <f t="shared" si="13"/>
        <v>0</v>
      </c>
      <c r="AT49" s="238">
        <f t="shared" si="14"/>
        <v>0</v>
      </c>
    </row>
    <row r="50" spans="1:46" s="153" customFormat="1" ht="14.4" x14ac:dyDescent="0.55000000000000004">
      <c r="A50" s="173"/>
      <c r="B50" s="295" t="s">
        <v>1615</v>
      </c>
      <c r="C50" s="164"/>
      <c r="D50" s="164"/>
      <c r="E50" s="164"/>
      <c r="F50" s="166"/>
      <c r="G50" s="166"/>
      <c r="H50" s="153" t="s">
        <v>76</v>
      </c>
      <c r="I50" s="185"/>
      <c r="J50" s="185"/>
      <c r="K50" s="185"/>
      <c r="L50" s="185"/>
      <c r="M50" s="185"/>
      <c r="N50" s="185"/>
      <c r="O50" s="185"/>
      <c r="P50" s="185"/>
      <c r="Q50" s="155"/>
      <c r="R50" s="167"/>
      <c r="S50" s="159" t="str">
        <f t="shared" si="7"/>
        <v>NotI: 0 uncut</v>
      </c>
      <c r="U50" s="168"/>
      <c r="V50" s="169"/>
      <c r="W50" s="226"/>
      <c r="X50" s="207"/>
      <c r="Y50" s="250">
        <f t="shared" si="16"/>
        <v>0</v>
      </c>
      <c r="Z50" s="254"/>
      <c r="AA50" s="219"/>
      <c r="AB50" s="219"/>
      <c r="AC50" s="220" t="str">
        <f t="shared" si="15"/>
        <v/>
      </c>
      <c r="AD50" s="221" t="str">
        <f t="shared" si="1"/>
        <v/>
      </c>
      <c r="AE50" s="222" t="str">
        <f t="shared" si="2"/>
        <v/>
      </c>
      <c r="AF50" s="204"/>
      <c r="AG50" s="220" t="str">
        <f t="shared" si="3"/>
        <v/>
      </c>
      <c r="AH50" s="223" t="str">
        <f t="shared" si="8"/>
        <v/>
      </c>
      <c r="AI50" s="205"/>
      <c r="AJ50" s="221"/>
      <c r="AK50" s="222"/>
      <c r="AL50" s="221"/>
      <c r="AM50" s="274"/>
      <c r="AO50" s="162"/>
      <c r="AP50" s="279" t="str">
        <f t="shared" si="10"/>
        <v>pIG044</v>
      </c>
      <c r="AQ50" s="279">
        <f t="shared" si="11"/>
        <v>0</v>
      </c>
      <c r="AR50" s="280">
        <f t="shared" si="12"/>
        <v>0</v>
      </c>
      <c r="AS50" s="278">
        <f t="shared" si="13"/>
        <v>0</v>
      </c>
      <c r="AT50" s="238">
        <f t="shared" si="14"/>
        <v>0</v>
      </c>
    </row>
    <row r="51" spans="1:46" s="153" customFormat="1" ht="14.4" x14ac:dyDescent="0.55000000000000004">
      <c r="A51" s="173"/>
      <c r="B51" s="295" t="s">
        <v>1616</v>
      </c>
      <c r="C51" s="203"/>
      <c r="D51" s="164"/>
      <c r="E51" s="237"/>
      <c r="F51" s="164"/>
      <c r="G51" s="164"/>
      <c r="H51" s="153" t="s">
        <v>76</v>
      </c>
      <c r="I51" s="185"/>
      <c r="J51" s="185"/>
      <c r="K51" s="185"/>
      <c r="L51" s="185"/>
      <c r="M51" s="185"/>
      <c r="N51" s="185"/>
      <c r="O51" s="185"/>
      <c r="P51" s="185"/>
      <c r="Q51" s="155"/>
      <c r="R51" s="167"/>
      <c r="S51" s="159" t="str">
        <f t="shared" si="7"/>
        <v>NotI: 0 uncut</v>
      </c>
      <c r="T51" s="184"/>
      <c r="U51" s="224"/>
      <c r="V51" s="169"/>
      <c r="W51" s="226"/>
      <c r="X51" s="207"/>
      <c r="Y51" s="250">
        <f t="shared" si="16"/>
        <v>0</v>
      </c>
      <c r="Z51" s="254"/>
      <c r="AA51" s="219"/>
      <c r="AB51" s="219"/>
      <c r="AC51" s="220" t="str">
        <f t="shared" si="15"/>
        <v/>
      </c>
      <c r="AD51" s="221" t="str">
        <f t="shared" si="1"/>
        <v/>
      </c>
      <c r="AE51" s="222" t="str">
        <f t="shared" si="2"/>
        <v/>
      </c>
      <c r="AF51" s="204"/>
      <c r="AG51" s="220" t="str">
        <f t="shared" si="3"/>
        <v/>
      </c>
      <c r="AH51" s="223" t="str">
        <f t="shared" si="8"/>
        <v/>
      </c>
      <c r="AI51" s="205"/>
      <c r="AJ51" s="221"/>
      <c r="AK51" s="222"/>
      <c r="AL51" s="221"/>
      <c r="AM51" s="274"/>
      <c r="AO51" s="162"/>
      <c r="AP51" s="279" t="str">
        <f t="shared" si="10"/>
        <v>pIG045</v>
      </c>
      <c r="AQ51" s="279">
        <f t="shared" si="11"/>
        <v>0</v>
      </c>
      <c r="AR51" s="280">
        <f t="shared" si="12"/>
        <v>0</v>
      </c>
      <c r="AS51" s="278">
        <f t="shared" si="13"/>
        <v>0</v>
      </c>
      <c r="AT51" s="238">
        <f t="shared" si="14"/>
        <v>0</v>
      </c>
    </row>
    <row r="52" spans="1:46" s="153" customFormat="1" ht="14.4" x14ac:dyDescent="0.55000000000000004">
      <c r="A52" s="173"/>
      <c r="B52" s="295" t="s">
        <v>1617</v>
      </c>
      <c r="C52" s="203"/>
      <c r="D52" s="203"/>
      <c r="E52" s="203"/>
      <c r="F52" s="203"/>
      <c r="G52" s="203"/>
      <c r="H52" s="153" t="s">
        <v>76</v>
      </c>
      <c r="I52" s="185"/>
      <c r="J52" s="185"/>
      <c r="K52" s="185"/>
      <c r="L52" s="185"/>
      <c r="M52" s="185"/>
      <c r="N52" s="185"/>
      <c r="O52" s="185"/>
      <c r="P52" s="185"/>
      <c r="Q52" s="155"/>
      <c r="R52" s="167"/>
      <c r="S52" s="159" t="str">
        <f t="shared" si="7"/>
        <v>NotI: 0 uncut</v>
      </c>
      <c r="T52" s="184"/>
      <c r="U52" s="224"/>
      <c r="V52" s="169"/>
      <c r="W52" s="226"/>
      <c r="X52" s="207"/>
      <c r="Y52" s="250">
        <f t="shared" si="16"/>
        <v>0</v>
      </c>
      <c r="Z52" s="254"/>
      <c r="AA52" s="219"/>
      <c r="AB52" s="219"/>
      <c r="AC52" s="220" t="str">
        <f t="shared" si="15"/>
        <v/>
      </c>
      <c r="AD52" s="221" t="str">
        <f t="shared" si="1"/>
        <v/>
      </c>
      <c r="AE52" s="222" t="str">
        <f t="shared" si="2"/>
        <v/>
      </c>
      <c r="AF52" s="204"/>
      <c r="AG52" s="220" t="str">
        <f t="shared" si="3"/>
        <v/>
      </c>
      <c r="AH52" s="223" t="str">
        <f t="shared" si="8"/>
        <v/>
      </c>
      <c r="AI52" s="205"/>
      <c r="AJ52" s="221"/>
      <c r="AK52" s="222"/>
      <c r="AL52" s="221"/>
      <c r="AM52" s="275"/>
      <c r="AO52" s="162"/>
      <c r="AP52" s="279" t="str">
        <f t="shared" si="10"/>
        <v>pIG046</v>
      </c>
      <c r="AQ52" s="279">
        <f t="shared" si="11"/>
        <v>0</v>
      </c>
      <c r="AR52" s="280">
        <f t="shared" si="12"/>
        <v>0</v>
      </c>
      <c r="AS52" s="278">
        <f t="shared" si="13"/>
        <v>0</v>
      </c>
      <c r="AT52" s="238">
        <f t="shared" si="14"/>
        <v>0</v>
      </c>
    </row>
    <row r="53" spans="1:46" s="153" customFormat="1" ht="14.4" x14ac:dyDescent="0.55000000000000004">
      <c r="A53" s="173"/>
      <c r="B53" s="295" t="s">
        <v>1618</v>
      </c>
      <c r="C53" s="203"/>
      <c r="D53" s="203"/>
      <c r="E53" s="186"/>
      <c r="F53" s="164"/>
      <c r="G53" s="164"/>
      <c r="H53" s="153" t="s">
        <v>76</v>
      </c>
      <c r="I53" s="185"/>
      <c r="J53" s="185"/>
      <c r="K53" s="185"/>
      <c r="L53" s="185"/>
      <c r="M53" s="185"/>
      <c r="N53" s="185"/>
      <c r="O53" s="185"/>
      <c r="P53" s="185"/>
      <c r="Q53" s="155"/>
      <c r="R53" s="167"/>
      <c r="S53" s="159" t="str">
        <f t="shared" si="7"/>
        <v>NotI: 0 uncut</v>
      </c>
      <c r="T53" s="224"/>
      <c r="U53" s="168"/>
      <c r="V53" s="169"/>
      <c r="W53" s="226"/>
      <c r="X53" s="207"/>
      <c r="Y53" s="250">
        <f t="shared" si="16"/>
        <v>0</v>
      </c>
      <c r="Z53" s="254"/>
      <c r="AA53" s="219"/>
      <c r="AB53" s="219"/>
      <c r="AC53" s="220" t="str">
        <f t="shared" si="15"/>
        <v/>
      </c>
      <c r="AD53" s="221" t="str">
        <f t="shared" si="1"/>
        <v/>
      </c>
      <c r="AE53" s="222" t="str">
        <f t="shared" si="2"/>
        <v/>
      </c>
      <c r="AF53" s="204"/>
      <c r="AG53" s="220" t="str">
        <f t="shared" si="3"/>
        <v/>
      </c>
      <c r="AH53" s="223" t="str">
        <f t="shared" si="8"/>
        <v/>
      </c>
      <c r="AI53" s="205"/>
      <c r="AJ53" s="221"/>
      <c r="AK53" s="222"/>
      <c r="AL53" s="221"/>
      <c r="AM53" s="274"/>
      <c r="AO53" s="162"/>
      <c r="AP53" s="279" t="str">
        <f t="shared" si="10"/>
        <v>pIG047</v>
      </c>
      <c r="AQ53" s="279">
        <f t="shared" si="11"/>
        <v>0</v>
      </c>
      <c r="AR53" s="280">
        <f t="shared" si="12"/>
        <v>0</v>
      </c>
      <c r="AS53" s="278">
        <f t="shared" si="13"/>
        <v>0</v>
      </c>
      <c r="AT53" s="238">
        <f t="shared" si="14"/>
        <v>0</v>
      </c>
    </row>
    <row r="54" spans="1:46" s="153" customFormat="1" ht="14.4" x14ac:dyDescent="0.55000000000000004">
      <c r="A54" s="173"/>
      <c r="B54" s="295" t="s">
        <v>1619</v>
      </c>
      <c r="C54" s="203"/>
      <c r="D54" s="203"/>
      <c r="E54" s="203"/>
      <c r="F54" s="164"/>
      <c r="G54" s="164"/>
      <c r="H54" s="153" t="s">
        <v>76</v>
      </c>
      <c r="I54" s="185"/>
      <c r="J54" s="185"/>
      <c r="K54" s="185"/>
      <c r="L54" s="185"/>
      <c r="M54" s="185"/>
      <c r="N54" s="185"/>
      <c r="O54" s="185"/>
      <c r="P54" s="185"/>
      <c r="Q54" s="155"/>
      <c r="R54" s="167"/>
      <c r="S54" s="159" t="str">
        <f t="shared" si="7"/>
        <v>NotI: 0 uncut</v>
      </c>
      <c r="T54" s="184"/>
      <c r="U54" s="224"/>
      <c r="V54" s="169"/>
      <c r="W54" s="226"/>
      <c r="X54" s="207"/>
      <c r="Y54" s="250">
        <f t="shared" si="16"/>
        <v>0</v>
      </c>
      <c r="Z54" s="254"/>
      <c r="AA54" s="219"/>
      <c r="AB54" s="219"/>
      <c r="AC54" s="220" t="str">
        <f t="shared" si="15"/>
        <v/>
      </c>
      <c r="AD54" s="221" t="str">
        <f t="shared" si="1"/>
        <v/>
      </c>
      <c r="AE54" s="222" t="str">
        <f t="shared" si="2"/>
        <v/>
      </c>
      <c r="AF54" s="204"/>
      <c r="AG54" s="220" t="str">
        <f t="shared" si="3"/>
        <v/>
      </c>
      <c r="AH54" s="223" t="str">
        <f t="shared" si="8"/>
        <v/>
      </c>
      <c r="AI54" s="205"/>
      <c r="AJ54" s="221"/>
      <c r="AK54" s="222"/>
      <c r="AL54" s="221"/>
      <c r="AM54" s="274"/>
      <c r="AO54" s="162"/>
      <c r="AP54" s="279" t="str">
        <f t="shared" si="10"/>
        <v>pIG048</v>
      </c>
      <c r="AQ54" s="279">
        <f t="shared" si="11"/>
        <v>0</v>
      </c>
      <c r="AR54" s="280">
        <f t="shared" si="12"/>
        <v>0</v>
      </c>
      <c r="AS54" s="278">
        <f t="shared" si="13"/>
        <v>0</v>
      </c>
      <c r="AT54" s="238">
        <f t="shared" si="14"/>
        <v>0</v>
      </c>
    </row>
    <row r="55" spans="1:46" s="153" customFormat="1" ht="14.4" x14ac:dyDescent="0.55000000000000004">
      <c r="A55" s="173"/>
      <c r="B55" s="295" t="s">
        <v>1620</v>
      </c>
      <c r="C55" s="203"/>
      <c r="D55" s="203"/>
      <c r="E55" s="203"/>
      <c r="F55" s="164"/>
      <c r="G55" s="164"/>
      <c r="H55" s="153" t="s">
        <v>76</v>
      </c>
      <c r="I55" s="185"/>
      <c r="J55" s="185"/>
      <c r="K55" s="185"/>
      <c r="L55" s="185"/>
      <c r="M55" s="185"/>
      <c r="N55" s="185"/>
      <c r="O55" s="185"/>
      <c r="P55" s="185"/>
      <c r="Q55" s="155"/>
      <c r="R55" s="167"/>
      <c r="S55" s="159" t="str">
        <f t="shared" si="7"/>
        <v>NotI: 0 uncut</v>
      </c>
      <c r="T55" s="184"/>
      <c r="U55" s="224"/>
      <c r="V55" s="169"/>
      <c r="W55" s="226"/>
      <c r="X55" s="207"/>
      <c r="Y55" s="250">
        <f t="shared" si="16"/>
        <v>0</v>
      </c>
      <c r="Z55" s="254"/>
      <c r="AA55" s="219"/>
      <c r="AB55" s="219"/>
      <c r="AC55" s="220" t="str">
        <f t="shared" si="15"/>
        <v/>
      </c>
      <c r="AD55" s="221" t="str">
        <f t="shared" si="1"/>
        <v/>
      </c>
      <c r="AE55" s="222" t="str">
        <f t="shared" si="2"/>
        <v/>
      </c>
      <c r="AF55" s="204"/>
      <c r="AG55" s="220" t="str">
        <f t="shared" si="3"/>
        <v/>
      </c>
      <c r="AH55" s="223" t="str">
        <f t="shared" si="8"/>
        <v/>
      </c>
      <c r="AI55" s="205"/>
      <c r="AJ55" s="221"/>
      <c r="AK55" s="222"/>
      <c r="AL55" s="221"/>
      <c r="AM55" s="275"/>
      <c r="AO55" s="162"/>
      <c r="AP55" s="279" t="str">
        <f t="shared" si="10"/>
        <v>pIG049</v>
      </c>
      <c r="AQ55" s="279">
        <f t="shared" si="11"/>
        <v>0</v>
      </c>
      <c r="AR55" s="280">
        <f t="shared" si="12"/>
        <v>0</v>
      </c>
      <c r="AS55" s="278">
        <f t="shared" si="13"/>
        <v>0</v>
      </c>
      <c r="AT55" s="238">
        <f t="shared" si="14"/>
        <v>0</v>
      </c>
    </row>
    <row r="56" spans="1:46" s="153" customFormat="1" ht="14.4" x14ac:dyDescent="0.55000000000000004">
      <c r="A56" s="173"/>
      <c r="B56" s="295" t="s">
        <v>1621</v>
      </c>
      <c r="C56" s="105"/>
      <c r="D56" s="164"/>
      <c r="E56" s="105"/>
      <c r="F56" s="164"/>
      <c r="G56" s="164"/>
      <c r="H56" s="153" t="s">
        <v>76</v>
      </c>
      <c r="I56" s="185"/>
      <c r="J56" s="185"/>
      <c r="K56" s="185"/>
      <c r="L56" s="185"/>
      <c r="M56" s="185"/>
      <c r="N56" s="185"/>
      <c r="O56" s="185"/>
      <c r="P56" s="185"/>
      <c r="Q56" s="155"/>
      <c r="R56" s="167"/>
      <c r="S56" s="159" t="str">
        <f t="shared" si="7"/>
        <v>NotI: 0 uncut</v>
      </c>
      <c r="T56" s="175"/>
      <c r="V56" s="169"/>
      <c r="W56" s="226"/>
      <c r="X56" s="207"/>
      <c r="Y56" s="250">
        <f t="shared" si="16"/>
        <v>0</v>
      </c>
      <c r="Z56" s="254"/>
      <c r="AA56" s="219"/>
      <c r="AB56" s="219"/>
      <c r="AC56" s="220" t="str">
        <f t="shared" si="15"/>
        <v/>
      </c>
      <c r="AD56" s="221" t="str">
        <f t="shared" si="1"/>
        <v/>
      </c>
      <c r="AE56" s="222" t="str">
        <f t="shared" si="2"/>
        <v/>
      </c>
      <c r="AF56" s="204"/>
      <c r="AG56" s="220" t="str">
        <f t="shared" si="3"/>
        <v/>
      </c>
      <c r="AH56" s="223" t="str">
        <f t="shared" si="8"/>
        <v/>
      </c>
      <c r="AI56" s="205"/>
      <c r="AJ56" s="221"/>
      <c r="AK56" s="222"/>
      <c r="AL56" s="221"/>
      <c r="AM56" s="274"/>
      <c r="AO56" s="162"/>
      <c r="AP56" s="279" t="str">
        <f t="shared" si="10"/>
        <v>pIG050</v>
      </c>
      <c r="AQ56" s="279">
        <f t="shared" si="11"/>
        <v>0</v>
      </c>
      <c r="AR56" s="280">
        <f t="shared" si="12"/>
        <v>0</v>
      </c>
      <c r="AS56" s="278">
        <f t="shared" si="13"/>
        <v>0</v>
      </c>
      <c r="AT56" s="238">
        <f t="shared" si="14"/>
        <v>0</v>
      </c>
    </row>
    <row r="57" spans="1:46" s="153" customFormat="1" ht="14.4" x14ac:dyDescent="0.55000000000000004">
      <c r="A57" s="176"/>
      <c r="B57" s="295" t="s">
        <v>1622</v>
      </c>
      <c r="C57" s="105"/>
      <c r="D57" s="165"/>
      <c r="E57" s="170"/>
      <c r="F57" s="164"/>
      <c r="G57" s="164"/>
      <c r="H57" s="153" t="s">
        <v>76</v>
      </c>
      <c r="I57" s="185"/>
      <c r="J57" s="185"/>
      <c r="K57" s="185"/>
      <c r="L57" s="185"/>
      <c r="M57" s="185"/>
      <c r="N57" s="185"/>
      <c r="O57" s="185"/>
      <c r="P57" s="185"/>
      <c r="Q57" s="155"/>
      <c r="R57" s="167"/>
      <c r="S57" s="159" t="str">
        <f t="shared" si="7"/>
        <v>NotI: 0 uncut</v>
      </c>
      <c r="U57" s="168"/>
      <c r="V57" s="177"/>
      <c r="W57" s="226"/>
      <c r="X57" s="207"/>
      <c r="Y57" s="250">
        <f t="shared" si="16"/>
        <v>0</v>
      </c>
      <c r="Z57" s="254"/>
      <c r="AA57" s="219"/>
      <c r="AB57" s="219"/>
      <c r="AC57" s="220" t="str">
        <f t="shared" si="15"/>
        <v/>
      </c>
      <c r="AD57" s="221" t="str">
        <f t="shared" si="1"/>
        <v/>
      </c>
      <c r="AE57" s="222" t="str">
        <f t="shared" si="2"/>
        <v/>
      </c>
      <c r="AF57" s="204"/>
      <c r="AG57" s="220" t="str">
        <f t="shared" si="3"/>
        <v/>
      </c>
      <c r="AH57" s="223" t="str">
        <f t="shared" si="8"/>
        <v/>
      </c>
      <c r="AI57" s="205"/>
      <c r="AJ57" s="221"/>
      <c r="AK57" s="222"/>
      <c r="AL57" s="221"/>
      <c r="AM57" s="274"/>
      <c r="AO57" s="162"/>
      <c r="AP57" s="279" t="str">
        <f t="shared" si="10"/>
        <v>pIG051</v>
      </c>
      <c r="AQ57" s="279">
        <f t="shared" si="11"/>
        <v>0</v>
      </c>
      <c r="AR57" s="280">
        <f t="shared" si="12"/>
        <v>0</v>
      </c>
      <c r="AS57" s="278">
        <f t="shared" si="13"/>
        <v>0</v>
      </c>
      <c r="AT57" s="238">
        <f t="shared" si="14"/>
        <v>0</v>
      </c>
    </row>
    <row r="58" spans="1:46" s="180" customFormat="1" ht="14.4" x14ac:dyDescent="0.55000000000000004">
      <c r="A58" s="178"/>
      <c r="B58" s="295" t="s">
        <v>1623</v>
      </c>
      <c r="C58" s="105"/>
      <c r="D58" s="165"/>
      <c r="E58" s="170"/>
      <c r="F58" s="164"/>
      <c r="G58" s="164"/>
      <c r="H58" s="153" t="s">
        <v>76</v>
      </c>
      <c r="I58" s="185"/>
      <c r="J58" s="185"/>
      <c r="K58" s="185"/>
      <c r="L58" s="185"/>
      <c r="M58" s="185"/>
      <c r="N58" s="185"/>
      <c r="O58" s="185"/>
      <c r="P58" s="185"/>
      <c r="Q58" s="155"/>
      <c r="R58" s="167"/>
      <c r="S58" s="159" t="str">
        <f t="shared" si="7"/>
        <v>NotI: 0 uncut</v>
      </c>
      <c r="T58" s="171"/>
      <c r="U58" s="168"/>
      <c r="V58" s="179"/>
      <c r="W58" s="226"/>
      <c r="X58" s="207"/>
      <c r="Y58" s="250">
        <f t="shared" si="16"/>
        <v>0</v>
      </c>
      <c r="Z58" s="254"/>
      <c r="AA58" s="219"/>
      <c r="AB58" s="219"/>
      <c r="AC58" s="220" t="str">
        <f t="shared" si="15"/>
        <v/>
      </c>
      <c r="AD58" s="221" t="str">
        <f t="shared" si="1"/>
        <v/>
      </c>
      <c r="AE58" s="222" t="str">
        <f t="shared" si="2"/>
        <v/>
      </c>
      <c r="AF58" s="204"/>
      <c r="AG58" s="220" t="str">
        <f t="shared" si="3"/>
        <v/>
      </c>
      <c r="AH58" s="223" t="str">
        <f t="shared" si="8"/>
        <v/>
      </c>
      <c r="AI58" s="205"/>
      <c r="AJ58" s="221"/>
      <c r="AK58" s="222"/>
      <c r="AL58" s="221"/>
      <c r="AM58" s="276"/>
      <c r="AO58" s="181"/>
      <c r="AP58" s="279" t="str">
        <f t="shared" si="10"/>
        <v>pIG052</v>
      </c>
      <c r="AQ58" s="279">
        <f t="shared" si="11"/>
        <v>0</v>
      </c>
      <c r="AR58" s="280">
        <f t="shared" si="12"/>
        <v>0</v>
      </c>
      <c r="AS58" s="278">
        <f t="shared" si="13"/>
        <v>0</v>
      </c>
      <c r="AT58" s="238">
        <f t="shared" si="14"/>
        <v>0</v>
      </c>
    </row>
    <row r="59" spans="1:46" s="180" customFormat="1" ht="14.4" x14ac:dyDescent="0.55000000000000004">
      <c r="A59" s="178"/>
      <c r="B59" s="295" t="s">
        <v>1624</v>
      </c>
      <c r="C59" s="105"/>
      <c r="D59" s="165"/>
      <c r="E59" s="170"/>
      <c r="F59" s="164"/>
      <c r="G59" s="164"/>
      <c r="H59" s="153" t="s">
        <v>76</v>
      </c>
      <c r="I59" s="185"/>
      <c r="J59" s="185"/>
      <c r="K59" s="185"/>
      <c r="L59" s="185"/>
      <c r="M59" s="185"/>
      <c r="N59" s="185"/>
      <c r="O59" s="185"/>
      <c r="P59" s="185"/>
      <c r="Q59" s="155"/>
      <c r="R59" s="167"/>
      <c r="S59" s="159" t="str">
        <f t="shared" si="7"/>
        <v>NotI: 0 uncut</v>
      </c>
      <c r="T59" s="171"/>
      <c r="U59" s="168"/>
      <c r="V59" s="179"/>
      <c r="W59" s="226"/>
      <c r="X59" s="207"/>
      <c r="Y59" s="250">
        <f t="shared" si="16"/>
        <v>0</v>
      </c>
      <c r="Z59" s="254"/>
      <c r="AA59" s="219"/>
      <c r="AB59" s="219"/>
      <c r="AC59" s="220" t="str">
        <f t="shared" si="15"/>
        <v/>
      </c>
      <c r="AD59" s="221" t="str">
        <f t="shared" si="1"/>
        <v/>
      </c>
      <c r="AE59" s="222" t="str">
        <f t="shared" si="2"/>
        <v/>
      </c>
      <c r="AF59" s="204"/>
      <c r="AG59" s="220" t="str">
        <f t="shared" si="3"/>
        <v/>
      </c>
      <c r="AH59" s="223" t="str">
        <f t="shared" si="8"/>
        <v/>
      </c>
      <c r="AI59" s="205"/>
      <c r="AJ59" s="221"/>
      <c r="AK59" s="222"/>
      <c r="AL59" s="221"/>
      <c r="AM59" s="276"/>
      <c r="AO59" s="181"/>
      <c r="AP59" s="279" t="str">
        <f t="shared" si="10"/>
        <v>pIG053</v>
      </c>
      <c r="AQ59" s="279">
        <f t="shared" si="11"/>
        <v>0</v>
      </c>
      <c r="AR59" s="280">
        <f t="shared" si="12"/>
        <v>0</v>
      </c>
      <c r="AS59" s="278">
        <f t="shared" si="13"/>
        <v>0</v>
      </c>
      <c r="AT59" s="238">
        <f t="shared" si="14"/>
        <v>0</v>
      </c>
    </row>
    <row r="60" spans="1:46" s="153" customFormat="1" ht="14.4" x14ac:dyDescent="0.55000000000000004">
      <c r="A60" s="163"/>
      <c r="B60" s="295" t="s">
        <v>1625</v>
      </c>
      <c r="C60" s="105"/>
      <c r="D60" s="165"/>
      <c r="E60" s="164"/>
      <c r="F60" s="164"/>
      <c r="G60" s="164"/>
      <c r="H60" s="153" t="s">
        <v>76</v>
      </c>
      <c r="I60" s="185"/>
      <c r="J60" s="185"/>
      <c r="K60" s="185"/>
      <c r="L60" s="185"/>
      <c r="M60" s="185"/>
      <c r="N60" s="185"/>
      <c r="O60" s="185"/>
      <c r="P60" s="185"/>
      <c r="Q60" s="155"/>
      <c r="R60" s="167"/>
      <c r="S60" s="159" t="str">
        <f t="shared" si="7"/>
        <v>NotI: 0 uncut</v>
      </c>
      <c r="T60" s="171"/>
      <c r="U60" s="168"/>
      <c r="V60" s="169"/>
      <c r="W60" s="226"/>
      <c r="X60" s="207"/>
      <c r="Y60" s="250">
        <f t="shared" si="16"/>
        <v>0</v>
      </c>
      <c r="Z60" s="254"/>
      <c r="AA60" s="219"/>
      <c r="AB60" s="219"/>
      <c r="AC60" s="220" t="str">
        <f t="shared" si="15"/>
        <v/>
      </c>
      <c r="AD60" s="221" t="str">
        <f t="shared" si="1"/>
        <v/>
      </c>
      <c r="AE60" s="222" t="str">
        <f t="shared" si="2"/>
        <v/>
      </c>
      <c r="AF60" s="204"/>
      <c r="AG60" s="220" t="str">
        <f t="shared" si="3"/>
        <v/>
      </c>
      <c r="AH60" s="223" t="str">
        <f t="shared" si="8"/>
        <v/>
      </c>
      <c r="AI60" s="205"/>
      <c r="AJ60" s="221"/>
      <c r="AK60" s="222"/>
      <c r="AL60" s="221"/>
      <c r="AM60" s="274"/>
      <c r="AO60" s="162"/>
      <c r="AP60" s="279" t="str">
        <f t="shared" si="10"/>
        <v>pIG054</v>
      </c>
      <c r="AQ60" s="279">
        <f t="shared" si="11"/>
        <v>0</v>
      </c>
      <c r="AR60" s="280">
        <f t="shared" si="12"/>
        <v>0</v>
      </c>
      <c r="AS60" s="278">
        <f t="shared" si="13"/>
        <v>0</v>
      </c>
      <c r="AT60" s="238">
        <f t="shared" si="14"/>
        <v>0</v>
      </c>
    </row>
    <row r="61" spans="1:46" s="153" customFormat="1" ht="14.4" x14ac:dyDescent="0.55000000000000004">
      <c r="A61" s="173"/>
      <c r="B61" s="295" t="s">
        <v>1626</v>
      </c>
      <c r="C61" s="105"/>
      <c r="D61" s="165"/>
      <c r="E61" s="166"/>
      <c r="F61" s="164"/>
      <c r="G61" s="164"/>
      <c r="H61" s="153" t="s">
        <v>76</v>
      </c>
      <c r="I61" s="185"/>
      <c r="J61" s="185"/>
      <c r="K61" s="185"/>
      <c r="L61" s="185"/>
      <c r="M61" s="185"/>
      <c r="N61" s="185"/>
      <c r="O61" s="185"/>
      <c r="P61" s="185"/>
      <c r="Q61" s="155"/>
      <c r="R61" s="167"/>
      <c r="S61" s="159" t="str">
        <f t="shared" si="7"/>
        <v>NotI: 0 uncut</v>
      </c>
      <c r="T61" s="168"/>
      <c r="U61" s="168"/>
      <c r="V61" s="169"/>
      <c r="W61" s="226"/>
      <c r="X61" s="207"/>
      <c r="Y61" s="250">
        <f t="shared" si="16"/>
        <v>0</v>
      </c>
      <c r="Z61" s="254"/>
      <c r="AA61" s="219"/>
      <c r="AB61" s="219"/>
      <c r="AC61" s="220" t="str">
        <f t="shared" si="15"/>
        <v/>
      </c>
      <c r="AD61" s="221" t="str">
        <f t="shared" si="1"/>
        <v/>
      </c>
      <c r="AE61" s="222" t="str">
        <f t="shared" si="2"/>
        <v/>
      </c>
      <c r="AF61" s="204"/>
      <c r="AG61" s="220" t="str">
        <f t="shared" si="3"/>
        <v/>
      </c>
      <c r="AH61" s="223" t="str">
        <f t="shared" si="8"/>
        <v/>
      </c>
      <c r="AI61" s="205"/>
      <c r="AJ61" s="221"/>
      <c r="AK61" s="222"/>
      <c r="AL61" s="221"/>
      <c r="AM61" s="274"/>
      <c r="AO61" s="162"/>
      <c r="AP61" s="279" t="str">
        <f t="shared" si="10"/>
        <v>pIG055</v>
      </c>
      <c r="AQ61" s="279">
        <f t="shared" si="11"/>
        <v>0</v>
      </c>
      <c r="AR61" s="280">
        <f t="shared" si="12"/>
        <v>0</v>
      </c>
      <c r="AS61" s="278">
        <f t="shared" si="13"/>
        <v>0</v>
      </c>
      <c r="AT61" s="238">
        <f t="shared" si="14"/>
        <v>0</v>
      </c>
    </row>
    <row r="62" spans="1:46" s="153" customFormat="1" ht="14.4" x14ac:dyDescent="0.55000000000000004">
      <c r="A62" s="173"/>
      <c r="B62" s="295" t="s">
        <v>1627</v>
      </c>
      <c r="C62" s="105"/>
      <c r="D62" s="165"/>
      <c r="E62" s="166"/>
      <c r="F62" s="164"/>
      <c r="G62" s="164"/>
      <c r="H62" s="153" t="s">
        <v>76</v>
      </c>
      <c r="I62" s="185"/>
      <c r="J62" s="185"/>
      <c r="K62" s="185"/>
      <c r="L62" s="185"/>
      <c r="M62" s="185"/>
      <c r="N62" s="185"/>
      <c r="O62" s="185"/>
      <c r="P62" s="185"/>
      <c r="Q62" s="155"/>
      <c r="R62" s="167"/>
      <c r="S62" s="159" t="str">
        <f t="shared" si="7"/>
        <v>NotI: 0 uncut</v>
      </c>
      <c r="T62" s="168"/>
      <c r="U62" s="168"/>
      <c r="V62" s="169"/>
      <c r="W62" s="226"/>
      <c r="X62" s="207"/>
      <c r="Y62" s="250">
        <f t="shared" si="16"/>
        <v>0</v>
      </c>
      <c r="Z62" s="254"/>
      <c r="AA62" s="219"/>
      <c r="AB62" s="219"/>
      <c r="AC62" s="220" t="str">
        <f t="shared" si="15"/>
        <v/>
      </c>
      <c r="AD62" s="221" t="str">
        <f t="shared" si="1"/>
        <v/>
      </c>
      <c r="AE62" s="222" t="str">
        <f t="shared" si="2"/>
        <v/>
      </c>
      <c r="AF62" s="204"/>
      <c r="AG62" s="220" t="str">
        <f t="shared" si="3"/>
        <v/>
      </c>
      <c r="AH62" s="223" t="str">
        <f t="shared" si="8"/>
        <v/>
      </c>
      <c r="AI62" s="205"/>
      <c r="AJ62" s="221"/>
      <c r="AK62" s="222"/>
      <c r="AL62" s="221"/>
      <c r="AM62" s="274"/>
      <c r="AO62" s="162"/>
      <c r="AP62" s="279" t="str">
        <f t="shared" si="10"/>
        <v>pIG056</v>
      </c>
      <c r="AQ62" s="279">
        <f t="shared" si="11"/>
        <v>0</v>
      </c>
      <c r="AR62" s="280">
        <f t="shared" si="12"/>
        <v>0</v>
      </c>
      <c r="AS62" s="278">
        <f t="shared" si="13"/>
        <v>0</v>
      </c>
      <c r="AT62" s="238">
        <f t="shared" si="14"/>
        <v>0</v>
      </c>
    </row>
    <row r="63" spans="1:46" s="153" customFormat="1" ht="14.4" x14ac:dyDescent="0.55000000000000004">
      <c r="A63" s="173"/>
      <c r="B63" s="295" t="s">
        <v>1628</v>
      </c>
      <c r="C63" s="105"/>
      <c r="D63" s="165"/>
      <c r="E63" s="166"/>
      <c r="F63" s="164"/>
      <c r="G63" s="164"/>
      <c r="H63" s="153" t="s">
        <v>76</v>
      </c>
      <c r="I63" s="185"/>
      <c r="J63" s="185"/>
      <c r="K63" s="185"/>
      <c r="L63" s="185"/>
      <c r="M63" s="185"/>
      <c r="N63" s="185"/>
      <c r="O63" s="185"/>
      <c r="P63" s="185"/>
      <c r="Q63" s="155"/>
      <c r="R63" s="167"/>
      <c r="S63" s="159" t="str">
        <f t="shared" si="7"/>
        <v>NotI: 0 uncut</v>
      </c>
      <c r="T63" s="168"/>
      <c r="U63" s="168"/>
      <c r="V63" s="169"/>
      <c r="W63" s="226"/>
      <c r="X63" s="207"/>
      <c r="Y63" s="250">
        <f t="shared" si="16"/>
        <v>0</v>
      </c>
      <c r="Z63" s="254"/>
      <c r="AA63" s="219"/>
      <c r="AB63" s="219"/>
      <c r="AC63" s="220" t="str">
        <f t="shared" si="15"/>
        <v/>
      </c>
      <c r="AD63" s="221" t="str">
        <f t="shared" si="1"/>
        <v/>
      </c>
      <c r="AE63" s="222" t="str">
        <f t="shared" si="2"/>
        <v/>
      </c>
      <c r="AF63" s="204"/>
      <c r="AG63" s="220" t="str">
        <f t="shared" si="3"/>
        <v/>
      </c>
      <c r="AH63" s="223" t="str">
        <f t="shared" si="8"/>
        <v/>
      </c>
      <c r="AI63" s="205"/>
      <c r="AJ63" s="221"/>
      <c r="AK63" s="222"/>
      <c r="AL63" s="221"/>
      <c r="AM63" s="274"/>
      <c r="AO63" s="162"/>
      <c r="AP63" s="279" t="str">
        <f t="shared" si="10"/>
        <v>pIG057</v>
      </c>
      <c r="AQ63" s="279">
        <f t="shared" si="11"/>
        <v>0</v>
      </c>
      <c r="AR63" s="280">
        <f t="shared" si="12"/>
        <v>0</v>
      </c>
      <c r="AS63" s="278">
        <f t="shared" si="13"/>
        <v>0</v>
      </c>
      <c r="AT63" s="238">
        <f t="shared" si="14"/>
        <v>0</v>
      </c>
    </row>
    <row r="64" spans="1:46" s="153" customFormat="1" ht="14.4" x14ac:dyDescent="0.55000000000000004">
      <c r="A64" s="173"/>
      <c r="B64" s="295" t="s">
        <v>1629</v>
      </c>
      <c r="C64" s="105"/>
      <c r="D64" s="165"/>
      <c r="E64" s="166"/>
      <c r="F64" s="164"/>
      <c r="G64" s="164"/>
      <c r="H64" s="153" t="s">
        <v>76</v>
      </c>
      <c r="I64" s="185"/>
      <c r="J64" s="185"/>
      <c r="K64" s="185"/>
      <c r="L64" s="185"/>
      <c r="M64" s="185"/>
      <c r="N64" s="185"/>
      <c r="O64" s="185"/>
      <c r="P64" s="185"/>
      <c r="Q64" s="155"/>
      <c r="R64" s="167"/>
      <c r="S64" s="159" t="str">
        <f t="shared" si="7"/>
        <v>NotI: 0 uncut</v>
      </c>
      <c r="T64" s="168"/>
      <c r="U64" s="168"/>
      <c r="V64" s="169"/>
      <c r="W64" s="226"/>
      <c r="X64" s="207"/>
      <c r="Y64" s="250">
        <f t="shared" si="16"/>
        <v>0</v>
      </c>
      <c r="Z64" s="254"/>
      <c r="AA64" s="219"/>
      <c r="AB64" s="219"/>
      <c r="AC64" s="220" t="str">
        <f t="shared" si="15"/>
        <v/>
      </c>
      <c r="AD64" s="221" t="str">
        <f t="shared" si="1"/>
        <v/>
      </c>
      <c r="AE64" s="222" t="str">
        <f t="shared" si="2"/>
        <v/>
      </c>
      <c r="AF64" s="204"/>
      <c r="AG64" s="220" t="str">
        <f t="shared" si="3"/>
        <v/>
      </c>
      <c r="AH64" s="223" t="str">
        <f t="shared" si="8"/>
        <v/>
      </c>
      <c r="AI64" s="205"/>
      <c r="AJ64" s="221"/>
      <c r="AK64" s="222"/>
      <c r="AL64" s="221"/>
      <c r="AM64" s="274"/>
      <c r="AO64" s="162"/>
      <c r="AP64" s="279" t="str">
        <f t="shared" si="10"/>
        <v>pIG058</v>
      </c>
      <c r="AQ64" s="279">
        <f t="shared" si="11"/>
        <v>0</v>
      </c>
      <c r="AR64" s="280">
        <f t="shared" si="12"/>
        <v>0</v>
      </c>
      <c r="AS64" s="278">
        <f t="shared" si="13"/>
        <v>0</v>
      </c>
      <c r="AT64" s="238">
        <f t="shared" si="14"/>
        <v>0</v>
      </c>
    </row>
    <row r="65" spans="1:46" s="153" customFormat="1" ht="14.4" x14ac:dyDescent="0.55000000000000004">
      <c r="A65" s="173"/>
      <c r="B65" s="295" t="s">
        <v>1630</v>
      </c>
      <c r="C65" s="105"/>
      <c r="D65" s="165"/>
      <c r="E65" s="164"/>
      <c r="F65" s="164"/>
      <c r="G65" s="164"/>
      <c r="H65" s="153" t="s">
        <v>76</v>
      </c>
      <c r="I65" s="185"/>
      <c r="J65" s="185"/>
      <c r="K65" s="185"/>
      <c r="L65" s="185"/>
      <c r="M65" s="185"/>
      <c r="N65" s="185"/>
      <c r="O65" s="185"/>
      <c r="P65" s="185"/>
      <c r="Q65" s="155"/>
      <c r="R65" s="167"/>
      <c r="S65" s="159" t="str">
        <f t="shared" si="7"/>
        <v>NotI: 0 uncut</v>
      </c>
      <c r="T65" s="168"/>
      <c r="U65" s="168"/>
      <c r="V65" s="169"/>
      <c r="W65" s="226"/>
      <c r="X65" s="207"/>
      <c r="Y65" s="250">
        <f t="shared" si="16"/>
        <v>0</v>
      </c>
      <c r="Z65" s="254"/>
      <c r="AA65" s="219"/>
      <c r="AB65" s="219"/>
      <c r="AC65" s="220" t="str">
        <f t="shared" si="15"/>
        <v/>
      </c>
      <c r="AD65" s="221" t="str">
        <f t="shared" si="1"/>
        <v/>
      </c>
      <c r="AE65" s="222" t="str">
        <f t="shared" si="2"/>
        <v/>
      </c>
      <c r="AF65" s="204"/>
      <c r="AG65" s="220" t="str">
        <f t="shared" si="3"/>
        <v/>
      </c>
      <c r="AH65" s="223" t="str">
        <f t="shared" si="8"/>
        <v/>
      </c>
      <c r="AI65" s="205"/>
      <c r="AJ65" s="221"/>
      <c r="AK65" s="222"/>
      <c r="AL65" s="221"/>
      <c r="AM65" s="274"/>
      <c r="AO65" s="162"/>
      <c r="AP65" s="279" t="str">
        <f t="shared" si="10"/>
        <v>pIG059</v>
      </c>
      <c r="AQ65" s="279">
        <f t="shared" si="11"/>
        <v>0</v>
      </c>
      <c r="AR65" s="280">
        <f t="shared" si="12"/>
        <v>0</v>
      </c>
      <c r="AS65" s="278">
        <f t="shared" si="13"/>
        <v>0</v>
      </c>
      <c r="AT65" s="238">
        <f t="shared" si="14"/>
        <v>0</v>
      </c>
    </row>
    <row r="66" spans="1:46" s="153" customFormat="1" ht="14.4" x14ac:dyDescent="0.55000000000000004">
      <c r="A66" s="173"/>
      <c r="B66" s="295" t="s">
        <v>1631</v>
      </c>
      <c r="C66" s="105"/>
      <c r="D66" s="165"/>
      <c r="E66" s="164"/>
      <c r="F66" s="164"/>
      <c r="G66" s="164"/>
      <c r="H66" s="153" t="s">
        <v>76</v>
      </c>
      <c r="I66" s="185"/>
      <c r="J66" s="185"/>
      <c r="K66" s="185"/>
      <c r="L66" s="185"/>
      <c r="M66" s="185"/>
      <c r="N66" s="185"/>
      <c r="O66" s="185"/>
      <c r="P66" s="185"/>
      <c r="Q66" s="155"/>
      <c r="R66" s="167"/>
      <c r="S66" s="159" t="str">
        <f t="shared" si="7"/>
        <v>NotI: 0 uncut</v>
      </c>
      <c r="T66" s="168"/>
      <c r="U66" s="168"/>
      <c r="V66" s="169"/>
      <c r="W66" s="226"/>
      <c r="X66" s="207"/>
      <c r="Y66" s="250">
        <f t="shared" si="16"/>
        <v>0</v>
      </c>
      <c r="Z66" s="254"/>
      <c r="AA66" s="219"/>
      <c r="AB66" s="219"/>
      <c r="AC66" s="220" t="str">
        <f t="shared" si="15"/>
        <v/>
      </c>
      <c r="AD66" s="221" t="str">
        <f t="shared" si="1"/>
        <v/>
      </c>
      <c r="AE66" s="222" t="str">
        <f t="shared" si="2"/>
        <v/>
      </c>
      <c r="AF66" s="204"/>
      <c r="AG66" s="220" t="str">
        <f t="shared" si="3"/>
        <v/>
      </c>
      <c r="AH66" s="223" t="str">
        <f t="shared" si="8"/>
        <v/>
      </c>
      <c r="AI66" s="205"/>
      <c r="AJ66" s="221"/>
      <c r="AK66" s="222"/>
      <c r="AL66" s="221"/>
      <c r="AM66" s="274"/>
      <c r="AO66" s="162"/>
      <c r="AP66" s="279" t="str">
        <f t="shared" si="10"/>
        <v>pIG060</v>
      </c>
      <c r="AQ66" s="279">
        <f t="shared" si="11"/>
        <v>0</v>
      </c>
      <c r="AR66" s="280">
        <f t="shared" si="12"/>
        <v>0</v>
      </c>
      <c r="AS66" s="278">
        <f t="shared" si="13"/>
        <v>0</v>
      </c>
      <c r="AT66" s="238">
        <f t="shared" si="14"/>
        <v>0</v>
      </c>
    </row>
    <row r="67" spans="1:46" s="153" customFormat="1" ht="14.4" x14ac:dyDescent="0.55000000000000004">
      <c r="A67" s="173"/>
      <c r="B67" s="295" t="s">
        <v>1632</v>
      </c>
      <c r="C67" s="218"/>
      <c r="D67" s="166"/>
      <c r="E67" s="166"/>
      <c r="F67" s="164"/>
      <c r="G67" s="164"/>
      <c r="H67" s="153" t="s">
        <v>76</v>
      </c>
      <c r="I67" s="185"/>
      <c r="J67" s="185"/>
      <c r="K67" s="185"/>
      <c r="L67" s="185"/>
      <c r="M67" s="185"/>
      <c r="N67" s="185"/>
      <c r="O67" s="185"/>
      <c r="P67" s="185"/>
      <c r="Q67" s="155"/>
      <c r="R67" s="167"/>
      <c r="S67" s="159" t="str">
        <f t="shared" si="7"/>
        <v>NotI: 0 uncut</v>
      </c>
      <c r="T67" s="168"/>
      <c r="U67" s="168"/>
      <c r="V67" s="169"/>
      <c r="W67" s="226"/>
      <c r="X67" s="207"/>
      <c r="Y67" s="250">
        <f t="shared" si="16"/>
        <v>0</v>
      </c>
      <c r="Z67" s="254"/>
      <c r="AA67" s="219"/>
      <c r="AB67" s="219"/>
      <c r="AC67" s="220" t="str">
        <f t="shared" si="15"/>
        <v/>
      </c>
      <c r="AD67" s="221" t="str">
        <f t="shared" si="1"/>
        <v/>
      </c>
      <c r="AE67" s="222" t="str">
        <f t="shared" si="2"/>
        <v/>
      </c>
      <c r="AF67" s="204"/>
      <c r="AG67" s="220" t="str">
        <f t="shared" si="3"/>
        <v/>
      </c>
      <c r="AH67" s="223" t="str">
        <f t="shared" si="8"/>
        <v/>
      </c>
      <c r="AI67" s="205"/>
      <c r="AJ67" s="221"/>
      <c r="AK67" s="222"/>
      <c r="AL67" s="221"/>
      <c r="AM67" s="274"/>
      <c r="AO67" s="162"/>
      <c r="AP67" s="279" t="str">
        <f t="shared" si="10"/>
        <v>pIG061</v>
      </c>
      <c r="AQ67" s="279">
        <f t="shared" si="11"/>
        <v>0</v>
      </c>
      <c r="AR67" s="280">
        <f t="shared" si="12"/>
        <v>0</v>
      </c>
      <c r="AS67" s="278">
        <f t="shared" si="13"/>
        <v>0</v>
      </c>
      <c r="AT67" s="238">
        <f t="shared" si="14"/>
        <v>0</v>
      </c>
    </row>
    <row r="68" spans="1:46" s="153" customFormat="1" ht="14.4" x14ac:dyDescent="0.55000000000000004">
      <c r="A68" s="173"/>
      <c r="B68" s="295" t="s">
        <v>1633</v>
      </c>
      <c r="C68" s="218"/>
      <c r="D68" s="166"/>
      <c r="E68" s="166"/>
      <c r="F68" s="164"/>
      <c r="G68" s="164"/>
      <c r="H68" s="153" t="s">
        <v>76</v>
      </c>
      <c r="I68" s="185"/>
      <c r="J68" s="185"/>
      <c r="K68" s="185"/>
      <c r="L68" s="185"/>
      <c r="M68" s="185"/>
      <c r="N68" s="185"/>
      <c r="O68" s="185"/>
      <c r="P68" s="185"/>
      <c r="Q68" s="155"/>
      <c r="R68" s="167"/>
      <c r="S68" s="159" t="str">
        <f t="shared" si="7"/>
        <v>NotI: 0 uncut</v>
      </c>
      <c r="T68" s="168"/>
      <c r="U68" s="168"/>
      <c r="V68" s="169"/>
      <c r="W68" s="226"/>
      <c r="X68" s="207"/>
      <c r="Y68" s="250">
        <f t="shared" si="16"/>
        <v>0</v>
      </c>
      <c r="Z68" s="254"/>
      <c r="AA68" s="219"/>
      <c r="AB68" s="219"/>
      <c r="AC68" s="220" t="str">
        <f t="shared" si="15"/>
        <v/>
      </c>
      <c r="AD68" s="221" t="str">
        <f t="shared" si="1"/>
        <v/>
      </c>
      <c r="AE68" s="222" t="str">
        <f t="shared" si="2"/>
        <v/>
      </c>
      <c r="AF68" s="204"/>
      <c r="AG68" s="220" t="str">
        <f t="shared" si="3"/>
        <v/>
      </c>
      <c r="AH68" s="223" t="str">
        <f t="shared" si="8"/>
        <v/>
      </c>
      <c r="AI68" s="205"/>
      <c r="AJ68" s="221"/>
      <c r="AK68" s="222"/>
      <c r="AL68" s="221"/>
      <c r="AM68" s="274"/>
      <c r="AO68" s="162"/>
      <c r="AP68" s="279" t="str">
        <f t="shared" si="10"/>
        <v>pIG062</v>
      </c>
      <c r="AQ68" s="279">
        <f t="shared" si="11"/>
        <v>0</v>
      </c>
      <c r="AR68" s="280">
        <f t="shared" si="12"/>
        <v>0</v>
      </c>
      <c r="AS68" s="278">
        <f t="shared" si="13"/>
        <v>0</v>
      </c>
      <c r="AT68" s="238">
        <f t="shared" si="14"/>
        <v>0</v>
      </c>
    </row>
    <row r="69" spans="1:46" s="153" customFormat="1" ht="14.4" x14ac:dyDescent="0.55000000000000004">
      <c r="A69" s="173"/>
      <c r="B69" s="295" t="s">
        <v>1634</v>
      </c>
      <c r="C69" s="105"/>
      <c r="D69" s="166"/>
      <c r="E69" s="164"/>
      <c r="F69" s="164"/>
      <c r="G69" s="164"/>
      <c r="H69" s="153" t="s">
        <v>76</v>
      </c>
      <c r="I69" s="185"/>
      <c r="J69" s="185"/>
      <c r="K69" s="185"/>
      <c r="L69" s="185"/>
      <c r="M69" s="185"/>
      <c r="N69" s="185"/>
      <c r="O69" s="185"/>
      <c r="P69" s="185"/>
      <c r="Q69" s="155"/>
      <c r="R69" s="167"/>
      <c r="S69" s="159" t="str">
        <f t="shared" si="7"/>
        <v>NotI: 0 uncut</v>
      </c>
      <c r="T69" s="168"/>
      <c r="U69" s="168"/>
      <c r="V69" s="169"/>
      <c r="W69" s="226"/>
      <c r="X69" s="207"/>
      <c r="Y69" s="250">
        <f t="shared" si="16"/>
        <v>0</v>
      </c>
      <c r="Z69" s="254"/>
      <c r="AA69" s="219"/>
      <c r="AB69" s="219"/>
      <c r="AC69" s="220" t="str">
        <f t="shared" si="15"/>
        <v/>
      </c>
      <c r="AD69" s="221" t="str">
        <f t="shared" si="1"/>
        <v/>
      </c>
      <c r="AE69" s="222" t="str">
        <f t="shared" si="2"/>
        <v/>
      </c>
      <c r="AF69" s="204"/>
      <c r="AG69" s="220" t="str">
        <f t="shared" si="3"/>
        <v/>
      </c>
      <c r="AH69" s="223" t="str">
        <f t="shared" si="8"/>
        <v/>
      </c>
      <c r="AI69" s="205"/>
      <c r="AJ69" s="221"/>
      <c r="AK69" s="222"/>
      <c r="AL69" s="221"/>
      <c r="AM69" s="274"/>
      <c r="AO69" s="162"/>
      <c r="AP69" s="279" t="str">
        <f t="shared" si="10"/>
        <v>pIG063</v>
      </c>
      <c r="AQ69" s="279">
        <f t="shared" si="11"/>
        <v>0</v>
      </c>
      <c r="AR69" s="280">
        <f t="shared" si="12"/>
        <v>0</v>
      </c>
      <c r="AS69" s="278">
        <f t="shared" si="13"/>
        <v>0</v>
      </c>
      <c r="AT69" s="238">
        <f t="shared" si="14"/>
        <v>0</v>
      </c>
    </row>
    <row r="70" spans="1:46" s="153" customFormat="1" ht="14.4" x14ac:dyDescent="0.55000000000000004">
      <c r="A70" s="173"/>
      <c r="B70" s="295" t="s">
        <v>1635</v>
      </c>
      <c r="C70" s="105"/>
      <c r="D70" s="166"/>
      <c r="E70" s="164"/>
      <c r="F70" s="164"/>
      <c r="G70" s="164"/>
      <c r="H70" s="153" t="s">
        <v>76</v>
      </c>
      <c r="I70" s="185"/>
      <c r="J70" s="185"/>
      <c r="K70" s="185"/>
      <c r="L70" s="185"/>
      <c r="M70" s="185"/>
      <c r="N70" s="185"/>
      <c r="O70" s="185"/>
      <c r="P70" s="185"/>
      <c r="Q70" s="155"/>
      <c r="R70" s="167"/>
      <c r="S70" s="159" t="str">
        <f t="shared" si="7"/>
        <v>NotI: 0 uncut</v>
      </c>
      <c r="T70" s="171"/>
      <c r="U70" s="168"/>
      <c r="V70" s="169"/>
      <c r="W70" s="226"/>
      <c r="X70" s="207"/>
      <c r="Y70" s="250">
        <f t="shared" si="16"/>
        <v>0</v>
      </c>
      <c r="Z70" s="254"/>
      <c r="AA70" s="219"/>
      <c r="AB70" s="219"/>
      <c r="AC70" s="220" t="str">
        <f t="shared" si="15"/>
        <v/>
      </c>
      <c r="AD70" s="221" t="str">
        <f t="shared" ref="AD70:AD88" si="17">IF($AC70="","",AD$4/($AC70*10^-9)*10^6)</f>
        <v/>
      </c>
      <c r="AE70" s="222" t="str">
        <f t="shared" ref="AE70:AE88" si="18">IF(AD70="","","µL")</f>
        <v/>
      </c>
      <c r="AF70" s="204"/>
      <c r="AG70" s="220" t="str">
        <f t="shared" ref="AG70:AG88" si="19">IF($AC70="","",$AC70*10^-9/AH$3)</f>
        <v/>
      </c>
      <c r="AH70" s="223" t="str">
        <f t="shared" si="8"/>
        <v/>
      </c>
      <c r="AI70" s="205"/>
      <c r="AJ70" s="221"/>
      <c r="AK70" s="222"/>
      <c r="AL70" s="221"/>
      <c r="AM70" s="274"/>
      <c r="AO70" s="162"/>
      <c r="AP70" s="279" t="str">
        <f t="shared" si="10"/>
        <v>pIG064</v>
      </c>
      <c r="AQ70" s="279">
        <f t="shared" si="11"/>
        <v>0</v>
      </c>
      <c r="AR70" s="280">
        <f t="shared" si="12"/>
        <v>0</v>
      </c>
      <c r="AS70" s="278">
        <f t="shared" si="13"/>
        <v>0</v>
      </c>
      <c r="AT70" s="238">
        <f t="shared" si="14"/>
        <v>0</v>
      </c>
    </row>
    <row r="71" spans="1:46" s="153" customFormat="1" ht="14.4" x14ac:dyDescent="0.55000000000000004">
      <c r="A71" s="173"/>
      <c r="B71" s="295" t="s">
        <v>1636</v>
      </c>
      <c r="C71" s="105"/>
      <c r="D71" s="166"/>
      <c r="E71" s="164"/>
      <c r="F71" s="164"/>
      <c r="G71" s="164"/>
      <c r="H71" s="153" t="s">
        <v>76</v>
      </c>
      <c r="I71" s="185"/>
      <c r="J71" s="185"/>
      <c r="K71" s="185"/>
      <c r="L71" s="185"/>
      <c r="M71" s="185"/>
      <c r="N71" s="185"/>
      <c r="O71" s="185"/>
      <c r="P71" s="185"/>
      <c r="Q71" s="155"/>
      <c r="R71" s="167"/>
      <c r="S71" s="159" t="str">
        <f t="shared" si="7"/>
        <v>NotI: 0 uncut</v>
      </c>
      <c r="T71" s="168"/>
      <c r="U71" s="168"/>
      <c r="V71" s="169"/>
      <c r="W71" s="226"/>
      <c r="X71" s="207"/>
      <c r="Y71" s="250">
        <f t="shared" ref="Y71:Y88" si="20">IF(X71=" ","",LEN(X71))</f>
        <v>0</v>
      </c>
      <c r="Z71" s="254"/>
      <c r="AA71" s="219"/>
      <c r="AB71" s="219"/>
      <c r="AC71" s="220" t="str">
        <f t="shared" si="15"/>
        <v/>
      </c>
      <c r="AD71" s="221" t="str">
        <f t="shared" si="17"/>
        <v/>
      </c>
      <c r="AE71" s="222" t="str">
        <f t="shared" si="18"/>
        <v/>
      </c>
      <c r="AF71" s="204"/>
      <c r="AG71" s="220" t="str">
        <f t="shared" si="19"/>
        <v/>
      </c>
      <c r="AH71" s="223" t="str">
        <f t="shared" si="8"/>
        <v/>
      </c>
      <c r="AI71" s="205"/>
      <c r="AJ71" s="221"/>
      <c r="AK71" s="222"/>
      <c r="AL71" s="221"/>
      <c r="AM71" s="274"/>
      <c r="AO71" s="162"/>
      <c r="AP71" s="279" t="str">
        <f t="shared" si="10"/>
        <v>pIG065</v>
      </c>
      <c r="AQ71" s="279">
        <f t="shared" si="11"/>
        <v>0</v>
      </c>
      <c r="AR71" s="280">
        <f t="shared" si="12"/>
        <v>0</v>
      </c>
      <c r="AS71" s="278">
        <f t="shared" si="13"/>
        <v>0</v>
      </c>
      <c r="AT71" s="238">
        <f t="shared" si="14"/>
        <v>0</v>
      </c>
    </row>
    <row r="72" spans="1:46" s="153" customFormat="1" ht="14.4" x14ac:dyDescent="0.55000000000000004">
      <c r="A72" s="173"/>
      <c r="B72" s="295" t="s">
        <v>1637</v>
      </c>
      <c r="C72" s="105"/>
      <c r="D72" s="166"/>
      <c r="E72" s="164"/>
      <c r="F72" s="164"/>
      <c r="G72" s="164"/>
      <c r="H72" s="153" t="s">
        <v>76</v>
      </c>
      <c r="I72" s="185"/>
      <c r="J72" s="185"/>
      <c r="K72" s="185"/>
      <c r="L72" s="185"/>
      <c r="M72" s="185"/>
      <c r="N72" s="185"/>
      <c r="O72" s="185"/>
      <c r="P72" s="185"/>
      <c r="Q72" s="155"/>
      <c r="R72" s="167"/>
      <c r="S72" s="159" t="str">
        <f t="shared" ref="S72:S88" si="21">digest(X72,"NotI")</f>
        <v>NotI: 0 uncut</v>
      </c>
      <c r="T72" s="168"/>
      <c r="U72" s="168"/>
      <c r="V72" s="169"/>
      <c r="W72" s="226"/>
      <c r="X72" s="207"/>
      <c r="Y72" s="250">
        <f t="shared" si="20"/>
        <v>0</v>
      </c>
      <c r="Z72" s="254"/>
      <c r="AA72" s="219"/>
      <c r="AB72" s="219"/>
      <c r="AC72" s="220" t="str">
        <f t="shared" si="15"/>
        <v/>
      </c>
      <c r="AD72" s="221" t="str">
        <f t="shared" si="17"/>
        <v/>
      </c>
      <c r="AE72" s="222" t="str">
        <f t="shared" si="18"/>
        <v/>
      </c>
      <c r="AF72" s="204"/>
      <c r="AG72" s="220" t="str">
        <f t="shared" si="19"/>
        <v/>
      </c>
      <c r="AH72" s="223" t="str">
        <f t="shared" ref="AH72:AH88" si="22">IF(AG72="","",IF(AG72&lt;1.05,IF(AG72&gt;0.95,"≈0","Too dilute"),IF(AA72="","",(AG72*AA72)-AA72)))</f>
        <v/>
      </c>
      <c r="AI72" s="205"/>
      <c r="AJ72" s="221"/>
      <c r="AK72" s="222"/>
      <c r="AL72" s="221"/>
      <c r="AM72" s="274"/>
      <c r="AO72" s="162"/>
      <c r="AP72" s="279" t="str">
        <f t="shared" ref="AP72:AP88" si="23">B72</f>
        <v>pIG066</v>
      </c>
      <c r="AQ72" s="279">
        <f t="shared" ref="AQ72:AQ88" si="24">C72</f>
        <v>0</v>
      </c>
      <c r="AR72" s="280">
        <f t="shared" ref="AR72:AR88" si="25">T72</f>
        <v>0</v>
      </c>
      <c r="AS72" s="278">
        <f t="shared" ref="AS72:AS88" si="26">U72</f>
        <v>0</v>
      </c>
      <c r="AT72" s="238">
        <f t="shared" ref="AT72:AT88" si="27">R72</f>
        <v>0</v>
      </c>
    </row>
    <row r="73" spans="1:46" s="153" customFormat="1" ht="14.4" x14ac:dyDescent="0.55000000000000004">
      <c r="A73" s="173"/>
      <c r="B73" s="295" t="s">
        <v>1638</v>
      </c>
      <c r="C73" s="105"/>
      <c r="D73" s="166"/>
      <c r="E73" s="164"/>
      <c r="F73" s="164"/>
      <c r="G73" s="164"/>
      <c r="H73" s="153" t="s">
        <v>76</v>
      </c>
      <c r="I73" s="185"/>
      <c r="J73" s="185"/>
      <c r="K73" s="185"/>
      <c r="L73" s="185"/>
      <c r="M73" s="185"/>
      <c r="N73" s="185"/>
      <c r="O73" s="185"/>
      <c r="P73" s="185"/>
      <c r="Q73" s="155"/>
      <c r="R73" s="167"/>
      <c r="S73" s="159" t="str">
        <f t="shared" si="21"/>
        <v>NotI: 0 uncut</v>
      </c>
      <c r="T73" s="168"/>
      <c r="U73" s="168"/>
      <c r="V73" s="169"/>
      <c r="W73" s="226"/>
      <c r="X73" s="207"/>
      <c r="Y73" s="250">
        <f t="shared" si="20"/>
        <v>0</v>
      </c>
      <c r="Z73" s="254"/>
      <c r="AA73" s="219"/>
      <c r="AB73" s="219"/>
      <c r="AC73" s="220" t="str">
        <f t="shared" si="15"/>
        <v/>
      </c>
      <c r="AD73" s="221" t="str">
        <f t="shared" si="17"/>
        <v/>
      </c>
      <c r="AE73" s="222" t="str">
        <f t="shared" si="18"/>
        <v/>
      </c>
      <c r="AF73" s="204"/>
      <c r="AG73" s="220" t="str">
        <f t="shared" si="19"/>
        <v/>
      </c>
      <c r="AH73" s="223" t="str">
        <f t="shared" si="22"/>
        <v/>
      </c>
      <c r="AI73" s="205"/>
      <c r="AJ73" s="221"/>
      <c r="AK73" s="222"/>
      <c r="AL73" s="221"/>
      <c r="AM73" s="274"/>
      <c r="AO73" s="162"/>
      <c r="AP73" s="279" t="str">
        <f t="shared" si="23"/>
        <v>pIG067</v>
      </c>
      <c r="AQ73" s="279">
        <f t="shared" si="24"/>
        <v>0</v>
      </c>
      <c r="AR73" s="280">
        <f t="shared" si="25"/>
        <v>0</v>
      </c>
      <c r="AS73" s="278">
        <f t="shared" si="26"/>
        <v>0</v>
      </c>
      <c r="AT73" s="238">
        <f t="shared" si="27"/>
        <v>0</v>
      </c>
    </row>
    <row r="74" spans="1:46" s="153" customFormat="1" ht="14.4" x14ac:dyDescent="0.55000000000000004">
      <c r="A74" s="173"/>
      <c r="B74" s="295" t="s">
        <v>1639</v>
      </c>
      <c r="C74" s="105"/>
      <c r="D74" s="166"/>
      <c r="E74" s="164"/>
      <c r="F74" s="164"/>
      <c r="G74" s="164"/>
      <c r="H74" s="153" t="s">
        <v>76</v>
      </c>
      <c r="I74" s="185"/>
      <c r="J74" s="185"/>
      <c r="K74" s="185"/>
      <c r="L74" s="185"/>
      <c r="M74" s="185"/>
      <c r="N74" s="185"/>
      <c r="O74" s="185"/>
      <c r="P74" s="185"/>
      <c r="Q74" s="155"/>
      <c r="R74" s="167"/>
      <c r="S74" s="159" t="str">
        <f t="shared" si="21"/>
        <v>NotI: 0 uncut</v>
      </c>
      <c r="T74" s="168"/>
      <c r="U74" s="168"/>
      <c r="V74" s="169"/>
      <c r="W74" s="226"/>
      <c r="X74" s="207"/>
      <c r="Y74" s="250">
        <f t="shared" si="20"/>
        <v>0</v>
      </c>
      <c r="Z74" s="254"/>
      <c r="AA74" s="219"/>
      <c r="AB74" s="219"/>
      <c r="AC74" s="220" t="str">
        <f t="shared" si="15"/>
        <v/>
      </c>
      <c r="AD74" s="221" t="str">
        <f t="shared" si="17"/>
        <v/>
      </c>
      <c r="AE74" s="222" t="str">
        <f t="shared" si="18"/>
        <v/>
      </c>
      <c r="AF74" s="204"/>
      <c r="AG74" s="220" t="str">
        <f t="shared" si="19"/>
        <v/>
      </c>
      <c r="AH74" s="223" t="str">
        <f t="shared" si="22"/>
        <v/>
      </c>
      <c r="AI74" s="205"/>
      <c r="AJ74" s="221"/>
      <c r="AK74" s="222"/>
      <c r="AL74" s="221"/>
      <c r="AM74" s="274"/>
      <c r="AO74" s="162"/>
      <c r="AP74" s="279" t="str">
        <f t="shared" si="23"/>
        <v>pIG068</v>
      </c>
      <c r="AQ74" s="279">
        <f t="shared" si="24"/>
        <v>0</v>
      </c>
      <c r="AR74" s="280">
        <f t="shared" si="25"/>
        <v>0</v>
      </c>
      <c r="AS74" s="278">
        <f t="shared" si="26"/>
        <v>0</v>
      </c>
      <c r="AT74" s="238">
        <f t="shared" si="27"/>
        <v>0</v>
      </c>
    </row>
    <row r="75" spans="1:46" s="153" customFormat="1" ht="14.4" x14ac:dyDescent="0.55000000000000004">
      <c r="A75" s="173"/>
      <c r="B75" s="295" t="s">
        <v>1640</v>
      </c>
      <c r="C75" s="105"/>
      <c r="D75" s="166"/>
      <c r="E75" s="164"/>
      <c r="F75" s="164"/>
      <c r="G75" s="164"/>
      <c r="H75" s="153" t="s">
        <v>76</v>
      </c>
      <c r="I75" s="185"/>
      <c r="J75" s="185"/>
      <c r="K75" s="185"/>
      <c r="L75" s="185"/>
      <c r="M75" s="185"/>
      <c r="N75" s="185"/>
      <c r="O75" s="185"/>
      <c r="P75" s="185"/>
      <c r="Q75" s="155"/>
      <c r="R75" s="167"/>
      <c r="S75" s="159" t="str">
        <f t="shared" si="21"/>
        <v>NotI: 0 uncut</v>
      </c>
      <c r="T75" s="168"/>
      <c r="U75" s="168"/>
      <c r="V75" s="169"/>
      <c r="W75" s="226"/>
      <c r="X75" s="207"/>
      <c r="Y75" s="250">
        <f t="shared" si="20"/>
        <v>0</v>
      </c>
      <c r="Z75" s="254"/>
      <c r="AA75" s="219"/>
      <c r="AB75" s="219"/>
      <c r="AC75" s="220" t="str">
        <f t="shared" si="15"/>
        <v/>
      </c>
      <c r="AD75" s="221" t="str">
        <f t="shared" si="17"/>
        <v/>
      </c>
      <c r="AE75" s="222" t="str">
        <f t="shared" si="18"/>
        <v/>
      </c>
      <c r="AF75" s="204"/>
      <c r="AG75" s="220" t="str">
        <f t="shared" si="19"/>
        <v/>
      </c>
      <c r="AH75" s="223" t="str">
        <f t="shared" si="22"/>
        <v/>
      </c>
      <c r="AI75" s="205"/>
      <c r="AJ75" s="221"/>
      <c r="AK75" s="222"/>
      <c r="AL75" s="221"/>
      <c r="AM75" s="274"/>
      <c r="AO75" s="162"/>
      <c r="AP75" s="279" t="str">
        <f t="shared" si="23"/>
        <v>pIG069</v>
      </c>
      <c r="AQ75" s="279">
        <f t="shared" si="24"/>
        <v>0</v>
      </c>
      <c r="AR75" s="280">
        <f t="shared" si="25"/>
        <v>0</v>
      </c>
      <c r="AS75" s="278">
        <f t="shared" si="26"/>
        <v>0</v>
      </c>
      <c r="AT75" s="238">
        <f t="shared" si="27"/>
        <v>0</v>
      </c>
    </row>
    <row r="76" spans="1:46" s="153" customFormat="1" ht="14.4" x14ac:dyDescent="0.55000000000000004">
      <c r="A76" s="173"/>
      <c r="B76" s="295" t="s">
        <v>1641</v>
      </c>
      <c r="C76" s="105"/>
      <c r="D76" s="166"/>
      <c r="E76" s="166"/>
      <c r="F76" s="164"/>
      <c r="G76" s="164"/>
      <c r="H76" s="153" t="s">
        <v>76</v>
      </c>
      <c r="I76" s="185"/>
      <c r="J76" s="185"/>
      <c r="K76" s="185"/>
      <c r="L76" s="185"/>
      <c r="M76" s="185"/>
      <c r="N76" s="185"/>
      <c r="O76" s="185"/>
      <c r="P76" s="185"/>
      <c r="Q76" s="155"/>
      <c r="R76" s="167"/>
      <c r="S76" s="159" t="str">
        <f t="shared" si="21"/>
        <v>NotI: 0 uncut</v>
      </c>
      <c r="T76" s="168"/>
      <c r="U76" s="168"/>
      <c r="V76" s="169"/>
      <c r="W76" s="226"/>
      <c r="X76" s="207"/>
      <c r="Y76" s="250">
        <f t="shared" si="20"/>
        <v>0</v>
      </c>
      <c r="Z76" s="254"/>
      <c r="AA76" s="219"/>
      <c r="AB76" s="219"/>
      <c r="AC76" s="220" t="str">
        <f t="shared" si="15"/>
        <v/>
      </c>
      <c r="AD76" s="221" t="str">
        <f t="shared" si="17"/>
        <v/>
      </c>
      <c r="AE76" s="222" t="str">
        <f t="shared" si="18"/>
        <v/>
      </c>
      <c r="AF76" s="204"/>
      <c r="AG76" s="220" t="str">
        <f t="shared" si="19"/>
        <v/>
      </c>
      <c r="AH76" s="223" t="str">
        <f t="shared" si="22"/>
        <v/>
      </c>
      <c r="AI76" s="205"/>
      <c r="AJ76" s="221"/>
      <c r="AK76" s="222"/>
      <c r="AL76" s="221"/>
      <c r="AM76" s="274"/>
      <c r="AO76" s="162"/>
      <c r="AP76" s="279" t="str">
        <f t="shared" si="23"/>
        <v>pIG070</v>
      </c>
      <c r="AQ76" s="279">
        <f t="shared" si="24"/>
        <v>0</v>
      </c>
      <c r="AR76" s="280">
        <f t="shared" si="25"/>
        <v>0</v>
      </c>
      <c r="AS76" s="278">
        <f t="shared" si="26"/>
        <v>0</v>
      </c>
      <c r="AT76" s="238">
        <f t="shared" si="27"/>
        <v>0</v>
      </c>
    </row>
    <row r="77" spans="1:46" s="153" customFormat="1" ht="14.4" x14ac:dyDescent="0.55000000000000004">
      <c r="A77" s="173"/>
      <c r="B77" s="295" t="s">
        <v>1642</v>
      </c>
      <c r="C77" s="105"/>
      <c r="D77" s="166"/>
      <c r="E77" s="218"/>
      <c r="F77" s="164"/>
      <c r="G77" s="164"/>
      <c r="H77" s="153" t="s">
        <v>76</v>
      </c>
      <c r="I77" s="185"/>
      <c r="J77" s="185"/>
      <c r="K77" s="185"/>
      <c r="L77" s="185"/>
      <c r="M77" s="185"/>
      <c r="N77" s="185"/>
      <c r="O77" s="185"/>
      <c r="P77" s="185"/>
      <c r="Q77" s="155"/>
      <c r="R77" s="167"/>
      <c r="S77" s="159" t="str">
        <f t="shared" si="21"/>
        <v>NotI: 0 uncut</v>
      </c>
      <c r="T77" s="168"/>
      <c r="U77" s="168"/>
      <c r="V77" s="169"/>
      <c r="W77" s="226"/>
      <c r="X77" s="207"/>
      <c r="Y77" s="250">
        <f t="shared" si="20"/>
        <v>0</v>
      </c>
      <c r="Z77" s="254"/>
      <c r="AA77" s="219"/>
      <c r="AB77" s="219"/>
      <c r="AC77" s="220" t="str">
        <f t="shared" si="15"/>
        <v/>
      </c>
      <c r="AD77" s="221" t="str">
        <f t="shared" si="17"/>
        <v/>
      </c>
      <c r="AE77" s="222" t="str">
        <f t="shared" si="18"/>
        <v/>
      </c>
      <c r="AF77" s="204"/>
      <c r="AG77" s="220" t="str">
        <f t="shared" si="19"/>
        <v/>
      </c>
      <c r="AH77" s="223" t="str">
        <f t="shared" si="22"/>
        <v/>
      </c>
      <c r="AI77" s="205"/>
      <c r="AJ77" s="221"/>
      <c r="AK77" s="222"/>
      <c r="AL77" s="221"/>
      <c r="AM77" s="274"/>
      <c r="AO77" s="162"/>
      <c r="AP77" s="279" t="str">
        <f t="shared" si="23"/>
        <v>pIG071</v>
      </c>
      <c r="AQ77" s="279">
        <f t="shared" si="24"/>
        <v>0</v>
      </c>
      <c r="AR77" s="280">
        <f t="shared" si="25"/>
        <v>0</v>
      </c>
      <c r="AS77" s="278">
        <f t="shared" si="26"/>
        <v>0</v>
      </c>
      <c r="AT77" s="238">
        <f t="shared" si="27"/>
        <v>0</v>
      </c>
    </row>
    <row r="78" spans="1:46" s="153" customFormat="1" ht="14.4" x14ac:dyDescent="0.55000000000000004">
      <c r="A78" s="173"/>
      <c r="B78" s="295" t="s">
        <v>1643</v>
      </c>
      <c r="C78" s="105"/>
      <c r="D78" s="166"/>
      <c r="E78" s="218"/>
      <c r="F78" s="164"/>
      <c r="G78" s="164"/>
      <c r="H78" s="153" t="s">
        <v>76</v>
      </c>
      <c r="I78" s="185"/>
      <c r="J78" s="185"/>
      <c r="K78" s="185"/>
      <c r="L78" s="185"/>
      <c r="M78" s="185"/>
      <c r="N78" s="185"/>
      <c r="O78" s="185"/>
      <c r="P78" s="185"/>
      <c r="Q78" s="155"/>
      <c r="R78" s="167"/>
      <c r="S78" s="159" t="str">
        <f t="shared" si="21"/>
        <v>NotI: 0 uncut</v>
      </c>
      <c r="T78" s="168"/>
      <c r="U78" s="168"/>
      <c r="V78" s="169"/>
      <c r="W78" s="226"/>
      <c r="X78" s="207"/>
      <c r="Y78" s="250">
        <f t="shared" si="20"/>
        <v>0</v>
      </c>
      <c r="Z78" s="254"/>
      <c r="AA78" s="219"/>
      <c r="AB78" s="219"/>
      <c r="AC78" s="220" t="str">
        <f t="shared" si="15"/>
        <v/>
      </c>
      <c r="AD78" s="221" t="str">
        <f t="shared" si="17"/>
        <v/>
      </c>
      <c r="AE78" s="222" t="str">
        <f t="shared" si="18"/>
        <v/>
      </c>
      <c r="AF78" s="204"/>
      <c r="AG78" s="220" t="str">
        <f t="shared" si="19"/>
        <v/>
      </c>
      <c r="AH78" s="223" t="str">
        <f t="shared" si="22"/>
        <v/>
      </c>
      <c r="AI78" s="205"/>
      <c r="AJ78" s="221"/>
      <c r="AK78" s="222"/>
      <c r="AL78" s="221"/>
      <c r="AM78" s="274"/>
      <c r="AO78" s="162"/>
      <c r="AP78" s="279" t="str">
        <f t="shared" si="23"/>
        <v>pIG072</v>
      </c>
      <c r="AQ78" s="279">
        <f t="shared" si="24"/>
        <v>0</v>
      </c>
      <c r="AR78" s="280">
        <f t="shared" si="25"/>
        <v>0</v>
      </c>
      <c r="AS78" s="278">
        <f t="shared" si="26"/>
        <v>0</v>
      </c>
      <c r="AT78" s="238">
        <f t="shared" si="27"/>
        <v>0</v>
      </c>
    </row>
    <row r="79" spans="1:46" s="153" customFormat="1" ht="14.4" x14ac:dyDescent="0.55000000000000004">
      <c r="A79" s="173"/>
      <c r="B79" s="295" t="s">
        <v>1644</v>
      </c>
      <c r="C79" s="105"/>
      <c r="D79" s="166"/>
      <c r="E79" s="164"/>
      <c r="F79" s="164"/>
      <c r="G79" s="164"/>
      <c r="H79" s="153" t="s">
        <v>76</v>
      </c>
      <c r="I79" s="185"/>
      <c r="J79" s="185"/>
      <c r="K79" s="185"/>
      <c r="L79" s="185"/>
      <c r="M79" s="185"/>
      <c r="N79" s="185"/>
      <c r="O79" s="185"/>
      <c r="P79" s="185"/>
      <c r="Q79" s="155"/>
      <c r="R79" s="167"/>
      <c r="S79" s="159" t="str">
        <f t="shared" si="21"/>
        <v>NotI: 0 uncut</v>
      </c>
      <c r="T79" s="168"/>
      <c r="U79" s="168"/>
      <c r="V79" s="169"/>
      <c r="W79" s="226"/>
      <c r="X79" s="207"/>
      <c r="Y79" s="250">
        <f t="shared" si="20"/>
        <v>0</v>
      </c>
      <c r="Z79" s="254"/>
      <c r="AA79" s="219"/>
      <c r="AB79" s="219"/>
      <c r="AC79" s="220" t="str">
        <f t="shared" si="15"/>
        <v/>
      </c>
      <c r="AD79" s="221" t="str">
        <f t="shared" si="17"/>
        <v/>
      </c>
      <c r="AE79" s="222" t="str">
        <f t="shared" si="18"/>
        <v/>
      </c>
      <c r="AF79" s="204"/>
      <c r="AG79" s="220" t="str">
        <f t="shared" si="19"/>
        <v/>
      </c>
      <c r="AH79" s="223" t="str">
        <f t="shared" si="22"/>
        <v/>
      </c>
      <c r="AI79" s="205"/>
      <c r="AJ79" s="221"/>
      <c r="AK79" s="222"/>
      <c r="AL79" s="221"/>
      <c r="AM79" s="274"/>
      <c r="AO79" s="162"/>
      <c r="AP79" s="279" t="str">
        <f t="shared" si="23"/>
        <v>pIG073</v>
      </c>
      <c r="AQ79" s="279">
        <f t="shared" si="24"/>
        <v>0</v>
      </c>
      <c r="AR79" s="280">
        <f t="shared" si="25"/>
        <v>0</v>
      </c>
      <c r="AS79" s="278">
        <f t="shared" si="26"/>
        <v>0</v>
      </c>
      <c r="AT79" s="238">
        <f t="shared" si="27"/>
        <v>0</v>
      </c>
    </row>
    <row r="80" spans="1:46" s="153" customFormat="1" ht="14.4" x14ac:dyDescent="0.55000000000000004">
      <c r="A80" s="173"/>
      <c r="B80" s="295" t="s">
        <v>1645</v>
      </c>
      <c r="C80" s="105"/>
      <c r="D80" s="164"/>
      <c r="E80" s="164"/>
      <c r="F80" s="164"/>
      <c r="G80" s="164"/>
      <c r="H80" s="153" t="s">
        <v>76</v>
      </c>
      <c r="I80" s="185"/>
      <c r="J80" s="185"/>
      <c r="K80" s="185"/>
      <c r="L80" s="185"/>
      <c r="M80" s="185"/>
      <c r="N80" s="185"/>
      <c r="O80" s="185"/>
      <c r="P80" s="185"/>
      <c r="Q80" s="155"/>
      <c r="R80" s="167"/>
      <c r="S80" s="159" t="str">
        <f t="shared" si="21"/>
        <v>NotI: 0 uncut</v>
      </c>
      <c r="T80" s="168"/>
      <c r="U80" s="168"/>
      <c r="V80" s="169"/>
      <c r="W80" s="226"/>
      <c r="X80" s="207"/>
      <c r="Y80" s="250">
        <f t="shared" si="20"/>
        <v>0</v>
      </c>
      <c r="Z80" s="254"/>
      <c r="AA80" s="219"/>
      <c r="AB80" s="219"/>
      <c r="AC80" s="220" t="str">
        <f t="shared" si="15"/>
        <v/>
      </c>
      <c r="AD80" s="221" t="str">
        <f t="shared" si="17"/>
        <v/>
      </c>
      <c r="AE80" s="222" t="str">
        <f t="shared" si="18"/>
        <v/>
      </c>
      <c r="AF80" s="204"/>
      <c r="AG80" s="220" t="str">
        <f t="shared" si="19"/>
        <v/>
      </c>
      <c r="AH80" s="223" t="str">
        <f t="shared" si="22"/>
        <v/>
      </c>
      <c r="AI80" s="205"/>
      <c r="AJ80" s="221"/>
      <c r="AK80" s="222"/>
      <c r="AL80" s="221"/>
      <c r="AM80" s="274"/>
      <c r="AO80" s="162"/>
      <c r="AP80" s="279" t="str">
        <f t="shared" si="23"/>
        <v>pIG074</v>
      </c>
      <c r="AQ80" s="279">
        <f t="shared" si="24"/>
        <v>0</v>
      </c>
      <c r="AR80" s="280">
        <f t="shared" si="25"/>
        <v>0</v>
      </c>
      <c r="AS80" s="278">
        <f t="shared" si="26"/>
        <v>0</v>
      </c>
      <c r="AT80" s="238">
        <f t="shared" si="27"/>
        <v>0</v>
      </c>
    </row>
    <row r="81" spans="1:46" s="153" customFormat="1" ht="14.4" x14ac:dyDescent="0.55000000000000004">
      <c r="A81" s="173"/>
      <c r="B81" s="295" t="s">
        <v>1646</v>
      </c>
      <c r="C81" s="105"/>
      <c r="D81" s="164"/>
      <c r="E81" s="170"/>
      <c r="F81" s="164"/>
      <c r="G81" s="164"/>
      <c r="H81" s="153" t="s">
        <v>76</v>
      </c>
      <c r="I81" s="185"/>
      <c r="J81" s="185"/>
      <c r="K81" s="185"/>
      <c r="L81" s="185"/>
      <c r="M81" s="185"/>
      <c r="N81" s="185"/>
      <c r="O81" s="185"/>
      <c r="P81" s="185"/>
      <c r="Q81" s="155"/>
      <c r="R81" s="167"/>
      <c r="S81" s="159" t="str">
        <f t="shared" si="21"/>
        <v>NotI: 0 uncut</v>
      </c>
      <c r="T81" s="171"/>
      <c r="U81" s="168"/>
      <c r="V81" s="169"/>
      <c r="W81" s="226"/>
      <c r="X81" s="207"/>
      <c r="Y81" s="250">
        <f t="shared" si="20"/>
        <v>0</v>
      </c>
      <c r="Z81" s="254"/>
      <c r="AA81" s="219"/>
      <c r="AB81" s="219"/>
      <c r="AC81" s="220" t="str">
        <f t="shared" si="15"/>
        <v/>
      </c>
      <c r="AD81" s="221" t="str">
        <f t="shared" si="17"/>
        <v/>
      </c>
      <c r="AE81" s="222" t="str">
        <f t="shared" si="18"/>
        <v/>
      </c>
      <c r="AF81" s="204"/>
      <c r="AG81" s="220" t="str">
        <f t="shared" si="19"/>
        <v/>
      </c>
      <c r="AH81" s="223" t="str">
        <f t="shared" si="22"/>
        <v/>
      </c>
      <c r="AI81" s="205"/>
      <c r="AJ81" s="221"/>
      <c r="AK81" s="222"/>
      <c r="AL81" s="221"/>
      <c r="AM81" s="274"/>
      <c r="AO81" s="162"/>
      <c r="AP81" s="279" t="str">
        <f t="shared" si="23"/>
        <v>pIG075</v>
      </c>
      <c r="AQ81" s="279">
        <f t="shared" si="24"/>
        <v>0</v>
      </c>
      <c r="AR81" s="280">
        <f t="shared" si="25"/>
        <v>0</v>
      </c>
      <c r="AS81" s="278">
        <f t="shared" si="26"/>
        <v>0</v>
      </c>
      <c r="AT81" s="238">
        <f t="shared" si="27"/>
        <v>0</v>
      </c>
    </row>
    <row r="82" spans="1:46" s="153" customFormat="1" ht="14.4" x14ac:dyDescent="0.55000000000000004">
      <c r="A82" s="173"/>
      <c r="B82" s="295" t="s">
        <v>1647</v>
      </c>
      <c r="C82" s="203"/>
      <c r="D82" s="203"/>
      <c r="E82" s="203"/>
      <c r="F82" s="164"/>
      <c r="G82" s="164"/>
      <c r="H82" s="153" t="s">
        <v>76</v>
      </c>
      <c r="I82" s="185"/>
      <c r="J82" s="185"/>
      <c r="K82" s="185"/>
      <c r="L82" s="185"/>
      <c r="M82" s="185"/>
      <c r="N82" s="185"/>
      <c r="O82" s="185"/>
      <c r="P82" s="185"/>
      <c r="Q82" s="155"/>
      <c r="R82" s="167"/>
      <c r="S82" s="159" t="str">
        <f t="shared" si="21"/>
        <v>NotI: 0 uncut</v>
      </c>
      <c r="T82" s="184"/>
      <c r="U82" s="224"/>
      <c r="V82" s="169"/>
      <c r="W82" s="226"/>
      <c r="X82" s="207"/>
      <c r="Y82" s="250">
        <f t="shared" si="20"/>
        <v>0</v>
      </c>
      <c r="Z82" s="254"/>
      <c r="AA82" s="219"/>
      <c r="AB82" s="219"/>
      <c r="AC82" s="220" t="str">
        <f t="shared" si="15"/>
        <v/>
      </c>
      <c r="AD82" s="221" t="str">
        <f t="shared" si="17"/>
        <v/>
      </c>
      <c r="AE82" s="222" t="str">
        <f t="shared" si="18"/>
        <v/>
      </c>
      <c r="AF82" s="204"/>
      <c r="AG82" s="220" t="str">
        <f t="shared" si="19"/>
        <v/>
      </c>
      <c r="AH82" s="223" t="str">
        <f t="shared" si="22"/>
        <v/>
      </c>
      <c r="AI82" s="205"/>
      <c r="AJ82" s="221"/>
      <c r="AK82" s="222"/>
      <c r="AL82" s="221"/>
      <c r="AM82" s="275"/>
      <c r="AO82" s="162"/>
      <c r="AP82" s="279" t="str">
        <f t="shared" si="23"/>
        <v>pIG076</v>
      </c>
      <c r="AQ82" s="279">
        <f t="shared" si="24"/>
        <v>0</v>
      </c>
      <c r="AR82" s="280">
        <f t="shared" si="25"/>
        <v>0</v>
      </c>
      <c r="AS82" s="278">
        <f t="shared" si="26"/>
        <v>0</v>
      </c>
      <c r="AT82" s="238">
        <f t="shared" si="27"/>
        <v>0</v>
      </c>
    </row>
    <row r="83" spans="1:46" s="153" customFormat="1" ht="14.4" x14ac:dyDescent="0.55000000000000004">
      <c r="A83" s="173"/>
      <c r="B83" s="295" t="s">
        <v>1648</v>
      </c>
      <c r="C83" s="203"/>
      <c r="D83" s="203"/>
      <c r="E83" s="203"/>
      <c r="F83" s="234"/>
      <c r="G83" s="234"/>
      <c r="H83" s="153" t="s">
        <v>76</v>
      </c>
      <c r="I83" s="185"/>
      <c r="J83" s="185"/>
      <c r="K83" s="185"/>
      <c r="L83" s="185"/>
      <c r="M83" s="185"/>
      <c r="N83" s="185"/>
      <c r="O83" s="185"/>
      <c r="P83" s="185"/>
      <c r="Q83" s="155"/>
      <c r="R83" s="167"/>
      <c r="S83" s="159" t="str">
        <f t="shared" si="21"/>
        <v>NotI: 0 uncut</v>
      </c>
      <c r="T83" s="224"/>
      <c r="U83" s="224"/>
      <c r="V83" s="169"/>
      <c r="W83" s="226"/>
      <c r="X83" s="207"/>
      <c r="Y83" s="250">
        <f t="shared" si="20"/>
        <v>0</v>
      </c>
      <c r="Z83" s="254"/>
      <c r="AA83" s="219"/>
      <c r="AB83" s="219"/>
      <c r="AC83" s="220" t="str">
        <f t="shared" si="15"/>
        <v/>
      </c>
      <c r="AD83" s="221" t="str">
        <f t="shared" si="17"/>
        <v/>
      </c>
      <c r="AE83" s="222" t="str">
        <f t="shared" si="18"/>
        <v/>
      </c>
      <c r="AF83" s="204"/>
      <c r="AG83" s="220" t="str">
        <f t="shared" si="19"/>
        <v/>
      </c>
      <c r="AH83" s="223" t="str">
        <f t="shared" si="22"/>
        <v/>
      </c>
      <c r="AI83" s="205"/>
      <c r="AJ83" s="221"/>
      <c r="AK83" s="222"/>
      <c r="AL83" s="221"/>
      <c r="AM83" s="275"/>
      <c r="AO83" s="162"/>
      <c r="AP83" s="279" t="str">
        <f t="shared" si="23"/>
        <v>pIG077</v>
      </c>
      <c r="AQ83" s="279">
        <f t="shared" si="24"/>
        <v>0</v>
      </c>
      <c r="AR83" s="280">
        <f t="shared" si="25"/>
        <v>0</v>
      </c>
      <c r="AS83" s="278">
        <f t="shared" si="26"/>
        <v>0</v>
      </c>
      <c r="AT83" s="238">
        <f t="shared" si="27"/>
        <v>0</v>
      </c>
    </row>
    <row r="84" spans="1:46" s="153" customFormat="1" ht="14.4" x14ac:dyDescent="0.55000000000000004">
      <c r="A84" s="173"/>
      <c r="B84" s="295" t="s">
        <v>1649</v>
      </c>
      <c r="C84" s="203"/>
      <c r="D84" s="203"/>
      <c r="E84" s="105"/>
      <c r="F84" s="164"/>
      <c r="G84" s="164"/>
      <c r="H84" s="153" t="s">
        <v>76</v>
      </c>
      <c r="I84" s="185"/>
      <c r="J84" s="185"/>
      <c r="K84" s="185"/>
      <c r="L84" s="185"/>
      <c r="M84" s="185"/>
      <c r="N84" s="185"/>
      <c r="O84" s="185"/>
      <c r="P84" s="185"/>
      <c r="Q84" s="155"/>
      <c r="R84" s="167"/>
      <c r="S84" s="159" t="str">
        <f t="shared" si="21"/>
        <v>NotI: 0 uncut</v>
      </c>
      <c r="T84" s="224"/>
      <c r="U84" s="224"/>
      <c r="V84" s="169"/>
      <c r="W84" s="226"/>
      <c r="X84" s="207"/>
      <c r="Y84" s="250">
        <f t="shared" si="20"/>
        <v>0</v>
      </c>
      <c r="Z84" s="254"/>
      <c r="AA84" s="219"/>
      <c r="AB84" s="219"/>
      <c r="AC84" s="220" t="str">
        <f t="shared" si="15"/>
        <v/>
      </c>
      <c r="AD84" s="221" t="str">
        <f t="shared" si="17"/>
        <v/>
      </c>
      <c r="AE84" s="222" t="str">
        <f t="shared" si="18"/>
        <v/>
      </c>
      <c r="AF84" s="204"/>
      <c r="AG84" s="220" t="str">
        <f t="shared" si="19"/>
        <v/>
      </c>
      <c r="AH84" s="223" t="str">
        <f t="shared" si="22"/>
        <v/>
      </c>
      <c r="AI84" s="205"/>
      <c r="AJ84" s="221"/>
      <c r="AK84" s="222"/>
      <c r="AL84" s="221"/>
      <c r="AM84" s="274"/>
      <c r="AO84" s="162"/>
      <c r="AP84" s="279" t="str">
        <f t="shared" si="23"/>
        <v>pIG078</v>
      </c>
      <c r="AQ84" s="279">
        <f t="shared" si="24"/>
        <v>0</v>
      </c>
      <c r="AR84" s="280">
        <f t="shared" si="25"/>
        <v>0</v>
      </c>
      <c r="AS84" s="278">
        <f t="shared" si="26"/>
        <v>0</v>
      </c>
      <c r="AT84" s="238">
        <f t="shared" si="27"/>
        <v>0</v>
      </c>
    </row>
    <row r="85" spans="1:46" s="153" customFormat="1" ht="14.4" x14ac:dyDescent="0.55000000000000004">
      <c r="A85" s="173"/>
      <c r="B85" s="295" t="s">
        <v>1650</v>
      </c>
      <c r="C85" s="203"/>
      <c r="D85" s="203"/>
      <c r="E85" s="105"/>
      <c r="F85" s="164"/>
      <c r="G85" s="164"/>
      <c r="H85" s="153" t="s">
        <v>76</v>
      </c>
      <c r="I85" s="185"/>
      <c r="J85" s="185"/>
      <c r="K85" s="185"/>
      <c r="L85" s="185"/>
      <c r="M85" s="185"/>
      <c r="N85" s="185"/>
      <c r="O85" s="185"/>
      <c r="P85" s="185"/>
      <c r="Q85" s="155"/>
      <c r="R85" s="167"/>
      <c r="S85" s="159" t="str">
        <f t="shared" si="21"/>
        <v>NotI: 0 uncut</v>
      </c>
      <c r="T85" s="184"/>
      <c r="U85" s="224"/>
      <c r="V85" s="169"/>
      <c r="W85" s="226"/>
      <c r="X85" s="207"/>
      <c r="Y85" s="250">
        <f t="shared" si="20"/>
        <v>0</v>
      </c>
      <c r="Z85" s="254"/>
      <c r="AA85" s="219"/>
      <c r="AB85" s="219"/>
      <c r="AC85" s="220" t="str">
        <f t="shared" si="15"/>
        <v/>
      </c>
      <c r="AD85" s="221" t="str">
        <f t="shared" si="17"/>
        <v/>
      </c>
      <c r="AE85" s="222" t="str">
        <f t="shared" si="18"/>
        <v/>
      </c>
      <c r="AF85" s="204"/>
      <c r="AG85" s="220" t="str">
        <f t="shared" si="19"/>
        <v/>
      </c>
      <c r="AH85" s="223" t="str">
        <f t="shared" si="22"/>
        <v/>
      </c>
      <c r="AI85" s="205"/>
      <c r="AJ85" s="221"/>
      <c r="AK85" s="222"/>
      <c r="AL85" s="221"/>
      <c r="AM85" s="275"/>
      <c r="AO85" s="162"/>
      <c r="AP85" s="279" t="str">
        <f t="shared" si="23"/>
        <v>pIG079</v>
      </c>
      <c r="AQ85" s="279">
        <f t="shared" si="24"/>
        <v>0</v>
      </c>
      <c r="AR85" s="280">
        <f t="shared" si="25"/>
        <v>0</v>
      </c>
      <c r="AS85" s="278">
        <f t="shared" si="26"/>
        <v>0</v>
      </c>
      <c r="AT85" s="238">
        <f t="shared" si="27"/>
        <v>0</v>
      </c>
    </row>
    <row r="86" spans="1:46" s="153" customFormat="1" ht="14.4" x14ac:dyDescent="0.55000000000000004">
      <c r="A86" s="173"/>
      <c r="B86" s="295" t="s">
        <v>1651</v>
      </c>
      <c r="C86" s="203"/>
      <c r="D86" s="203"/>
      <c r="E86" s="203"/>
      <c r="F86" s="164"/>
      <c r="G86" s="164"/>
      <c r="H86" s="153" t="s">
        <v>76</v>
      </c>
      <c r="I86" s="185"/>
      <c r="J86" s="185"/>
      <c r="K86" s="185"/>
      <c r="L86" s="185"/>
      <c r="M86" s="185"/>
      <c r="N86" s="185"/>
      <c r="O86" s="185"/>
      <c r="P86" s="185"/>
      <c r="Q86" s="155"/>
      <c r="R86" s="167"/>
      <c r="S86" s="159" t="str">
        <f t="shared" si="21"/>
        <v>NotI: 0 uncut</v>
      </c>
      <c r="T86" s="184"/>
      <c r="U86" s="239"/>
      <c r="V86" s="169"/>
      <c r="W86" s="226"/>
      <c r="X86" s="207"/>
      <c r="Y86" s="250">
        <f t="shared" si="20"/>
        <v>0</v>
      </c>
      <c r="Z86" s="254"/>
      <c r="AA86" s="219"/>
      <c r="AB86" s="219"/>
      <c r="AC86" s="220" t="str">
        <f t="shared" ref="AC86:AC88" si="28">IF($AB86="",IF(OR($Y86="",$Z86=""),"",($Z86*10^-9/10^-6)/($Y86*615.88)*10^9),$AB86)</f>
        <v/>
      </c>
      <c r="AD86" s="221" t="str">
        <f t="shared" si="17"/>
        <v/>
      </c>
      <c r="AE86" s="222" t="str">
        <f t="shared" si="18"/>
        <v/>
      </c>
      <c r="AF86" s="204"/>
      <c r="AG86" s="220" t="str">
        <f t="shared" si="19"/>
        <v/>
      </c>
      <c r="AH86" s="223" t="str">
        <f t="shared" si="22"/>
        <v/>
      </c>
      <c r="AI86" s="205"/>
      <c r="AJ86" s="221"/>
      <c r="AK86" s="222"/>
      <c r="AL86" s="221"/>
      <c r="AM86" s="275"/>
      <c r="AO86" s="162"/>
      <c r="AP86" s="279" t="str">
        <f t="shared" si="23"/>
        <v>pIG080</v>
      </c>
      <c r="AQ86" s="279">
        <f t="shared" si="24"/>
        <v>0</v>
      </c>
      <c r="AR86" s="280">
        <f t="shared" si="25"/>
        <v>0</v>
      </c>
      <c r="AS86" s="278">
        <f t="shared" si="26"/>
        <v>0</v>
      </c>
      <c r="AT86" s="238">
        <f t="shared" si="27"/>
        <v>0</v>
      </c>
    </row>
    <row r="87" spans="1:46" s="153" customFormat="1" ht="14.4" x14ac:dyDescent="0.55000000000000004">
      <c r="A87" s="173"/>
      <c r="B87" s="295" t="s">
        <v>1652</v>
      </c>
      <c r="C87" s="203"/>
      <c r="D87" s="203"/>
      <c r="E87" s="203"/>
      <c r="F87" s="164"/>
      <c r="G87" s="164"/>
      <c r="H87" s="153" t="s">
        <v>76</v>
      </c>
      <c r="I87" s="185"/>
      <c r="J87" s="185"/>
      <c r="K87" s="185"/>
      <c r="L87" s="185"/>
      <c r="M87" s="185"/>
      <c r="N87" s="185"/>
      <c r="O87" s="185"/>
      <c r="P87" s="185"/>
      <c r="Q87" s="155"/>
      <c r="R87" s="167"/>
      <c r="S87" s="159" t="str">
        <f t="shared" si="21"/>
        <v>NotI: 0 uncut</v>
      </c>
      <c r="T87" s="238"/>
      <c r="U87" s="239"/>
      <c r="V87" s="169"/>
      <c r="W87" s="226"/>
      <c r="X87" s="207"/>
      <c r="Y87" s="250">
        <f t="shared" si="20"/>
        <v>0</v>
      </c>
      <c r="Z87" s="254"/>
      <c r="AA87" s="219"/>
      <c r="AB87" s="219"/>
      <c r="AC87" s="220" t="str">
        <f t="shared" si="28"/>
        <v/>
      </c>
      <c r="AD87" s="221" t="str">
        <f t="shared" si="17"/>
        <v/>
      </c>
      <c r="AE87" s="222" t="str">
        <f t="shared" si="18"/>
        <v/>
      </c>
      <c r="AF87" s="204"/>
      <c r="AG87" s="220" t="str">
        <f t="shared" si="19"/>
        <v/>
      </c>
      <c r="AH87" s="223" t="str">
        <f t="shared" si="22"/>
        <v/>
      </c>
      <c r="AI87" s="205"/>
      <c r="AJ87" s="221"/>
      <c r="AK87" s="222"/>
      <c r="AL87" s="221"/>
      <c r="AM87" s="275"/>
      <c r="AO87" s="162"/>
      <c r="AP87" s="279" t="str">
        <f t="shared" si="23"/>
        <v>pIG081</v>
      </c>
      <c r="AQ87" s="279">
        <f t="shared" si="24"/>
        <v>0</v>
      </c>
      <c r="AR87" s="280">
        <f t="shared" si="25"/>
        <v>0</v>
      </c>
      <c r="AS87" s="278">
        <f t="shared" si="26"/>
        <v>0</v>
      </c>
      <c r="AT87" s="238">
        <f t="shared" si="27"/>
        <v>0</v>
      </c>
    </row>
    <row r="88" spans="1:46" ht="14.4" x14ac:dyDescent="0.55000000000000004">
      <c r="B88" s="230" t="s">
        <v>1653</v>
      </c>
      <c r="C88" s="230"/>
      <c r="F88" s="164"/>
      <c r="G88" s="164"/>
      <c r="H88" s="153" t="s">
        <v>76</v>
      </c>
      <c r="I88" s="185"/>
      <c r="J88" s="185"/>
      <c r="K88" s="185"/>
      <c r="L88" s="185"/>
      <c r="M88" s="185"/>
      <c r="N88" s="185"/>
      <c r="O88" s="185"/>
      <c r="P88" s="185"/>
      <c r="Q88" s="155"/>
      <c r="S88" s="159" t="str">
        <f t="shared" si="21"/>
        <v>NotI: 0 uncut</v>
      </c>
      <c r="V88" s="159"/>
      <c r="W88" s="226"/>
      <c r="X88" s="207"/>
      <c r="Y88" s="250">
        <f t="shared" si="20"/>
        <v>0</v>
      </c>
      <c r="Z88" s="254"/>
      <c r="AA88" s="219"/>
      <c r="AB88" s="219"/>
      <c r="AC88" s="220" t="str">
        <f t="shared" si="28"/>
        <v/>
      </c>
      <c r="AD88" s="221" t="str">
        <f t="shared" si="17"/>
        <v/>
      </c>
      <c r="AE88" s="222" t="str">
        <f t="shared" si="18"/>
        <v/>
      </c>
      <c r="AF88" s="204"/>
      <c r="AG88" s="220" t="str">
        <f t="shared" si="19"/>
        <v/>
      </c>
      <c r="AH88" s="223" t="str">
        <f t="shared" si="22"/>
        <v/>
      </c>
      <c r="AI88" s="205"/>
      <c r="AJ88" s="221"/>
      <c r="AK88" s="222"/>
      <c r="AL88" s="221"/>
      <c r="AM88" s="273"/>
      <c r="AP88" s="279" t="str">
        <f t="shared" si="23"/>
        <v>piG101</v>
      </c>
      <c r="AQ88" s="279">
        <f t="shared" si="24"/>
        <v>0</v>
      </c>
      <c r="AR88" s="280">
        <f t="shared" si="25"/>
        <v>0</v>
      </c>
      <c r="AS88" s="278">
        <f t="shared" si="26"/>
        <v>0</v>
      </c>
      <c r="AT88" s="238">
        <f t="shared" si="27"/>
        <v>0</v>
      </c>
    </row>
  </sheetData>
  <mergeCells count="22">
    <mergeCell ref="AP2:AU2"/>
    <mergeCell ref="AJ2:AO2"/>
    <mergeCell ref="Z2:AI2"/>
    <mergeCell ref="X3:X4"/>
    <mergeCell ref="W3:W4"/>
    <mergeCell ref="Y3:Y4"/>
    <mergeCell ref="AJ4:AK4"/>
    <mergeCell ref="V3:V4"/>
    <mergeCell ref="AD3:AE3"/>
    <mergeCell ref="T3:U3"/>
    <mergeCell ref="A1:B2"/>
    <mergeCell ref="A3:A4"/>
    <mergeCell ref="B3:B4"/>
    <mergeCell ref="D3:D4"/>
    <mergeCell ref="R3:S3"/>
    <mergeCell ref="C3:C4"/>
    <mergeCell ref="C2:H2"/>
    <mergeCell ref="C1:H1"/>
    <mergeCell ref="E3:E4"/>
    <mergeCell ref="F3:F4"/>
    <mergeCell ref="G3:G4"/>
    <mergeCell ref="H3:H4"/>
  </mergeCells>
  <pageMargins left="0.7" right="0.7" top="0.75" bottom="0.75" header="0.3" footer="0.3"/>
  <pageSetup orientation="portrait" r:id="rId1"/>
  <ignoredErrors>
    <ignoredError sqref="I3:P3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published="0" codeName="Sheet3">
    <tabColor theme="4"/>
  </sheetPr>
  <dimension ref="A1:S406"/>
  <sheetViews>
    <sheetView zoomScale="115" zoomScaleNormal="115" workbookViewId="0">
      <pane xSplit="2" topLeftCell="C1" activePane="topRight" state="frozen"/>
      <selection activeCell="A258" sqref="A258"/>
      <selection pane="topRight" activeCell="B49" sqref="B49"/>
    </sheetView>
  </sheetViews>
  <sheetFormatPr defaultColWidth="8.89453125" defaultRowHeight="14.4" x14ac:dyDescent="0.55000000000000004"/>
  <cols>
    <col min="1" max="1" width="4.89453125" style="1" customWidth="1"/>
    <col min="2" max="2" width="23.41796875" style="1" customWidth="1"/>
    <col min="3" max="3" width="25" style="3" customWidth="1"/>
    <col min="4" max="4" width="62.20703125" style="1" customWidth="1"/>
    <col min="5" max="5" width="19.1015625" style="1" customWidth="1"/>
    <col min="6" max="6" width="8.41796875" style="1" customWidth="1"/>
    <col min="7" max="7" width="9.68359375" style="1" customWidth="1"/>
    <col min="8" max="15" width="8.89453125" style="1"/>
    <col min="16" max="16" width="16.89453125" style="1" customWidth="1"/>
    <col min="17" max="16384" width="8.89453125" style="1"/>
  </cols>
  <sheetData>
    <row r="1" spans="1:13" x14ac:dyDescent="0.55000000000000004">
      <c r="A1" s="4" t="s">
        <v>216</v>
      </c>
      <c r="B1" s="4" t="s">
        <v>9</v>
      </c>
      <c r="C1" s="5" t="s">
        <v>10</v>
      </c>
      <c r="D1" s="4" t="s">
        <v>5</v>
      </c>
      <c r="E1" s="4" t="s">
        <v>8</v>
      </c>
      <c r="F1" s="4" t="s">
        <v>217</v>
      </c>
      <c r="G1" s="6" t="s">
        <v>6</v>
      </c>
    </row>
    <row r="2" spans="1:13" x14ac:dyDescent="0.55000000000000004">
      <c r="A2" s="2" t="s">
        <v>135</v>
      </c>
      <c r="B2" s="7" t="s">
        <v>469</v>
      </c>
      <c r="C2" s="5" t="str">
        <f t="shared" ref="C2:C65" si="0">CONCATENATE(A2," ",B2)</f>
        <v>A01 (2) P1 Pxyl/tet</v>
      </c>
      <c r="D2" s="10" t="s">
        <v>843</v>
      </c>
      <c r="F2" s="1" t="s">
        <v>57</v>
      </c>
      <c r="G2" s="1">
        <f>LEN(Table3[[#This Row],[Sequence]])</f>
        <v>50</v>
      </c>
    </row>
    <row r="3" spans="1:13" x14ac:dyDescent="0.55000000000000004">
      <c r="A3" s="2" t="s">
        <v>136</v>
      </c>
      <c r="B3" s="1" t="s">
        <v>470</v>
      </c>
      <c r="C3" s="5" t="str">
        <f t="shared" si="0"/>
        <v>A02 (2) P2 Pxyl/tet</v>
      </c>
      <c r="D3" s="10" t="s">
        <v>695</v>
      </c>
      <c r="F3" s="1" t="s">
        <v>57</v>
      </c>
      <c r="G3" s="1">
        <f>LEN(Table3[[#This Row],[Sequence]])</f>
        <v>48</v>
      </c>
    </row>
    <row r="4" spans="1:13" x14ac:dyDescent="0.55000000000000004">
      <c r="A4" s="2" t="s">
        <v>137</v>
      </c>
      <c r="B4" s="1" t="s">
        <v>471</v>
      </c>
      <c r="C4" s="5" t="str">
        <f t="shared" si="0"/>
        <v>A03 (2) P1 Plac/ara-1</v>
      </c>
      <c r="D4" s="10" t="s">
        <v>895</v>
      </c>
      <c r="F4" s="1" t="s">
        <v>57</v>
      </c>
      <c r="G4" s="1">
        <f>LEN(Table3[[#This Row],[Sequence]])</f>
        <v>38</v>
      </c>
    </row>
    <row r="5" spans="1:13" x14ac:dyDescent="0.55000000000000004">
      <c r="A5" s="2" t="s">
        <v>138</v>
      </c>
      <c r="B5" s="1" t="s">
        <v>472</v>
      </c>
      <c r="C5" s="5" t="str">
        <f t="shared" si="0"/>
        <v>A04 (2) P2 Plac/ara-1</v>
      </c>
      <c r="D5" s="10" t="s">
        <v>894</v>
      </c>
      <c r="F5" s="1" t="s">
        <v>57</v>
      </c>
      <c r="G5" s="1">
        <f>LEN(Table3[[#This Row],[Sequence]])</f>
        <v>50</v>
      </c>
    </row>
    <row r="6" spans="1:13" x14ac:dyDescent="0.55000000000000004">
      <c r="A6" s="2" t="s">
        <v>139</v>
      </c>
      <c r="B6" s="1" t="s">
        <v>473</v>
      </c>
      <c r="C6" s="5" t="str">
        <f t="shared" si="0"/>
        <v>A05 (3) P1 BCD2</v>
      </c>
      <c r="D6" s="10" t="s">
        <v>544</v>
      </c>
      <c r="F6" s="1" t="s">
        <v>57</v>
      </c>
      <c r="G6" s="1">
        <f>LEN(Table3[[#This Row],[Sequence]])</f>
        <v>35</v>
      </c>
      <c r="M6" s="2"/>
    </row>
    <row r="7" spans="1:13" x14ac:dyDescent="0.55000000000000004">
      <c r="A7" s="8" t="s">
        <v>140</v>
      </c>
      <c r="B7" s="8" t="s">
        <v>474</v>
      </c>
      <c r="C7" s="12" t="str">
        <f t="shared" si="0"/>
        <v>A06 (3) P2 BCD2</v>
      </c>
      <c r="D7" s="11" t="s">
        <v>545</v>
      </c>
      <c r="F7" s="1" t="s">
        <v>57</v>
      </c>
      <c r="G7" s="1">
        <f>LEN(Table3[[#This Row],[Sequence]])</f>
        <v>38</v>
      </c>
      <c r="H7" s="14"/>
    </row>
    <row r="8" spans="1:13" x14ac:dyDescent="0.55000000000000004">
      <c r="A8" s="2" t="s">
        <v>141</v>
      </c>
      <c r="B8" s="1" t="s">
        <v>475</v>
      </c>
      <c r="C8" s="5" t="str">
        <f t="shared" si="0"/>
        <v>A07 (3) P2 BCD1</v>
      </c>
      <c r="D8" s="10" t="s">
        <v>546</v>
      </c>
      <c r="F8" s="1" t="s">
        <v>57</v>
      </c>
      <c r="G8" s="1">
        <f>LEN(Table3[[#This Row],[Sequence]])</f>
        <v>56</v>
      </c>
    </row>
    <row r="9" spans="1:13" x14ac:dyDescent="0.55000000000000004">
      <c r="A9" s="2" t="s">
        <v>142</v>
      </c>
      <c r="B9" s="1" t="s">
        <v>476</v>
      </c>
      <c r="C9" s="5" t="str">
        <f t="shared" si="0"/>
        <v>A08 (3) P1 BBa_B0034</v>
      </c>
      <c r="D9" s="10" t="s">
        <v>419</v>
      </c>
      <c r="F9" s="1" t="s">
        <v>57</v>
      </c>
      <c r="G9" s="1">
        <f>LEN(Table3[[#This Row],[Sequence]])</f>
        <v>35</v>
      </c>
    </row>
    <row r="10" spans="1:13" x14ac:dyDescent="0.55000000000000004">
      <c r="A10" s="2" t="s">
        <v>143</v>
      </c>
      <c r="B10" s="1" t="s">
        <v>477</v>
      </c>
      <c r="C10" s="5" t="str">
        <f t="shared" si="0"/>
        <v>A09 (3) P2 BBa_B0034</v>
      </c>
      <c r="D10" s="10" t="s">
        <v>420</v>
      </c>
      <c r="F10" s="1" t="s">
        <v>57</v>
      </c>
      <c r="G10" s="1">
        <f>LEN(Table3[[#This Row],[Sequence]])</f>
        <v>35</v>
      </c>
    </row>
    <row r="11" spans="1:13" x14ac:dyDescent="0.55000000000000004">
      <c r="A11" s="2" t="s">
        <v>144</v>
      </c>
      <c r="B11" s="1" t="s">
        <v>635</v>
      </c>
      <c r="C11" s="5" t="str">
        <f t="shared" si="0"/>
        <v>A10 (4ab) P1 Ec.xylR</v>
      </c>
      <c r="D11" s="10" t="s">
        <v>132</v>
      </c>
      <c r="F11" s="1" t="s">
        <v>57</v>
      </c>
      <c r="G11" s="1">
        <f>LEN(Table3[[#This Row],[Sequence]])</f>
        <v>38</v>
      </c>
    </row>
    <row r="12" spans="1:13" x14ac:dyDescent="0.55000000000000004">
      <c r="A12" s="2" t="s">
        <v>145</v>
      </c>
      <c r="B12" s="1" t="s">
        <v>636</v>
      </c>
      <c r="C12" s="5" t="str">
        <f t="shared" si="0"/>
        <v>A11 (4ab) P2 Ec.xylR</v>
      </c>
      <c r="D12" s="10" t="s">
        <v>845</v>
      </c>
      <c r="F12" s="1" t="s">
        <v>57</v>
      </c>
      <c r="G12" s="1">
        <f>LEN(Table3[[#This Row],[Sequence]])</f>
        <v>46</v>
      </c>
    </row>
    <row r="13" spans="1:13" x14ac:dyDescent="0.55000000000000004">
      <c r="A13" s="2" t="s">
        <v>146</v>
      </c>
      <c r="B13" s="1" t="s">
        <v>637</v>
      </c>
      <c r="C13" s="5" t="str">
        <f t="shared" si="0"/>
        <v>A12 (4ab) P1 λ.tetR</v>
      </c>
      <c r="D13" s="10" t="s">
        <v>133</v>
      </c>
      <c r="F13" s="1" t="s">
        <v>57</v>
      </c>
      <c r="G13" s="1">
        <f>LEN(Table3[[#This Row],[Sequence]])</f>
        <v>44</v>
      </c>
    </row>
    <row r="14" spans="1:13" x14ac:dyDescent="0.55000000000000004">
      <c r="A14" s="2" t="s">
        <v>147</v>
      </c>
      <c r="B14" s="1" t="s">
        <v>638</v>
      </c>
      <c r="C14" s="5" t="str">
        <f t="shared" si="0"/>
        <v>A13 (4ab) P2 λ.tetR</v>
      </c>
      <c r="D14" s="10" t="s">
        <v>645</v>
      </c>
      <c r="F14" s="1" t="s">
        <v>57</v>
      </c>
      <c r="G14" s="1">
        <f>LEN(Table3[[#This Row],[Sequence]])</f>
        <v>41</v>
      </c>
    </row>
    <row r="15" spans="1:13" x14ac:dyDescent="0.55000000000000004">
      <c r="A15" s="2" t="s">
        <v>148</v>
      </c>
      <c r="B15" s="1" t="s">
        <v>639</v>
      </c>
      <c r="C15" s="5" t="str">
        <f t="shared" si="0"/>
        <v>A14 (4ab) P1 Ec.lacI</v>
      </c>
      <c r="D15" s="10" t="s">
        <v>760</v>
      </c>
      <c r="F15" s="1" t="s">
        <v>57</v>
      </c>
      <c r="G15" s="1">
        <f>LEN(Table3[[#This Row],[Sequence]])</f>
        <v>38</v>
      </c>
    </row>
    <row r="16" spans="1:13" x14ac:dyDescent="0.55000000000000004">
      <c r="A16" s="2" t="s">
        <v>149</v>
      </c>
      <c r="B16" s="1" t="s">
        <v>640</v>
      </c>
      <c r="C16" s="5" t="str">
        <f t="shared" si="0"/>
        <v>A15 (4ab) P2 Ec.lacI</v>
      </c>
      <c r="D16" s="10" t="s">
        <v>409</v>
      </c>
      <c r="F16" s="1" t="s">
        <v>57</v>
      </c>
      <c r="G16" s="1">
        <f>LEN(Table3[[#This Row],[Sequence]])</f>
        <v>33</v>
      </c>
    </row>
    <row r="17" spans="1:8" x14ac:dyDescent="0.55000000000000004">
      <c r="A17" s="2" t="s">
        <v>150</v>
      </c>
      <c r="B17" s="1" t="s">
        <v>641</v>
      </c>
      <c r="C17" s="5" t="str">
        <f t="shared" si="0"/>
        <v>A16 (4ab) P3 Ec.lacI</v>
      </c>
      <c r="D17" s="10" t="s">
        <v>408</v>
      </c>
      <c r="F17" s="1" t="s">
        <v>57</v>
      </c>
      <c r="G17" s="1">
        <f>LEN(Table3[[#This Row],[Sequence]])</f>
        <v>33</v>
      </c>
    </row>
    <row r="18" spans="1:8" x14ac:dyDescent="0.55000000000000004">
      <c r="A18" s="2" t="s">
        <v>151</v>
      </c>
      <c r="B18" s="1" t="s">
        <v>642</v>
      </c>
      <c r="C18" s="5" t="str">
        <f t="shared" si="0"/>
        <v>A17 (4ab) P4 Ec.lacI</v>
      </c>
      <c r="D18" s="10" t="s">
        <v>852</v>
      </c>
      <c r="F18" s="1" t="s">
        <v>57</v>
      </c>
      <c r="G18" s="1">
        <f>LEN(Table3[[#This Row],[Sequence]])</f>
        <v>39</v>
      </c>
    </row>
    <row r="19" spans="1:8" x14ac:dyDescent="0.55000000000000004">
      <c r="A19" s="2" t="s">
        <v>152</v>
      </c>
      <c r="B19" s="1" t="s">
        <v>643</v>
      </c>
      <c r="C19" s="5" t="str">
        <f t="shared" si="0"/>
        <v>A18 (4ab) P1 Ec.araC</v>
      </c>
      <c r="D19" s="10" t="s">
        <v>134</v>
      </c>
      <c r="F19" s="1" t="s">
        <v>57</v>
      </c>
      <c r="G19" s="1">
        <f>LEN(Table3[[#This Row],[Sequence]])</f>
        <v>35</v>
      </c>
    </row>
    <row r="20" spans="1:8" x14ac:dyDescent="0.55000000000000004">
      <c r="A20" s="2" t="s">
        <v>153</v>
      </c>
      <c r="B20" s="1" t="s">
        <v>644</v>
      </c>
      <c r="C20" s="5" t="str">
        <f t="shared" si="0"/>
        <v>A19 (4ab) P2 Ec.araC</v>
      </c>
      <c r="D20" s="10" t="s">
        <v>646</v>
      </c>
      <c r="F20" s="1" t="s">
        <v>57</v>
      </c>
      <c r="G20" s="1">
        <f>LEN(Table3[[#This Row],[Sequence]])</f>
        <v>40</v>
      </c>
    </row>
    <row r="21" spans="1:8" x14ac:dyDescent="0.55000000000000004">
      <c r="A21" s="2" t="s">
        <v>154</v>
      </c>
      <c r="B21" s="1" t="s">
        <v>647</v>
      </c>
      <c r="C21" s="5" t="str">
        <f t="shared" si="0"/>
        <v>A20 (4c) ssrA.LAA O1</v>
      </c>
      <c r="D21" s="10" t="s">
        <v>678</v>
      </c>
      <c r="F21" s="1" t="s">
        <v>57</v>
      </c>
      <c r="G21" s="1">
        <f>LEN(Table3[[#This Row],[Sequence]])</f>
        <v>51</v>
      </c>
    </row>
    <row r="22" spans="1:8" x14ac:dyDescent="0.55000000000000004">
      <c r="A22" s="2" t="s">
        <v>155</v>
      </c>
      <c r="B22" s="1" t="s">
        <v>648</v>
      </c>
      <c r="C22" s="5" t="str">
        <f t="shared" si="0"/>
        <v>A21 (4c) ssrA.LAA O2</v>
      </c>
      <c r="D22" s="10" t="s">
        <v>679</v>
      </c>
      <c r="F22" s="1" t="s">
        <v>57</v>
      </c>
      <c r="G22" s="1">
        <f>LEN(Table3[[#This Row],[Sequence]])</f>
        <v>51</v>
      </c>
      <c r="H22" s="1" t="s">
        <v>131</v>
      </c>
    </row>
    <row r="23" spans="1:8" x14ac:dyDescent="0.55000000000000004">
      <c r="A23" s="2" t="s">
        <v>156</v>
      </c>
      <c r="B23" s="1" t="s">
        <v>649</v>
      </c>
      <c r="C23" s="5" t="str">
        <f t="shared" si="0"/>
        <v>A22 (2-5) P1 spacer</v>
      </c>
      <c r="D23" s="10" t="s">
        <v>651</v>
      </c>
      <c r="F23" s="1" t="s">
        <v>57</v>
      </c>
      <c r="G23" s="1">
        <f>LEN(Table3[[#This Row],[Sequence]])</f>
        <v>43</v>
      </c>
    </row>
    <row r="24" spans="1:8" x14ac:dyDescent="0.55000000000000004">
      <c r="A24" s="2" t="s">
        <v>157</v>
      </c>
      <c r="B24" s="1" t="s">
        <v>650</v>
      </c>
      <c r="C24" s="5" t="str">
        <f t="shared" si="0"/>
        <v>A23 (2-5) P2 spacer</v>
      </c>
      <c r="D24" s="10" t="s">
        <v>264</v>
      </c>
      <c r="F24" s="1" t="s">
        <v>57</v>
      </c>
      <c r="G24" s="1">
        <f>LEN(Table3[[#This Row],[Sequence]])</f>
        <v>36</v>
      </c>
      <c r="H24" s="1" t="s">
        <v>131</v>
      </c>
    </row>
    <row r="25" spans="1:8" x14ac:dyDescent="0.55000000000000004">
      <c r="A25" s="2" t="s">
        <v>158</v>
      </c>
      <c r="B25" s="1" t="s">
        <v>654</v>
      </c>
      <c r="C25" s="5" t="str">
        <f t="shared" si="0"/>
        <v>A24 (7) P1 ChlR.r</v>
      </c>
      <c r="D25" s="10" t="s">
        <v>661</v>
      </c>
      <c r="F25" s="1" t="s">
        <v>57</v>
      </c>
      <c r="G25" s="1">
        <f>LEN(Table3[[#This Row],[Sequence]])</f>
        <v>37</v>
      </c>
      <c r="H25" s="10"/>
    </row>
    <row r="26" spans="1:8" x14ac:dyDescent="0.55000000000000004">
      <c r="A26" s="2" t="s">
        <v>159</v>
      </c>
      <c r="B26" s="1" t="s">
        <v>655</v>
      </c>
      <c r="C26" s="5" t="str">
        <f t="shared" si="0"/>
        <v>A25 (7) P2 ChlR.r</v>
      </c>
      <c r="D26" s="10" t="s">
        <v>660</v>
      </c>
      <c r="F26" s="1" t="s">
        <v>57</v>
      </c>
      <c r="G26" s="1">
        <f>LEN(Table3[[#This Row],[Sequence]])</f>
        <v>36</v>
      </c>
      <c r="H26" s="10"/>
    </row>
    <row r="27" spans="1:8" x14ac:dyDescent="0.55000000000000004">
      <c r="A27" s="2" t="s">
        <v>160</v>
      </c>
      <c r="B27" s="1" t="s">
        <v>656</v>
      </c>
      <c r="C27" s="5" t="str">
        <f t="shared" si="0"/>
        <v>A26 (7) P1 AmpR.r</v>
      </c>
      <c r="D27" s="10" t="s">
        <v>662</v>
      </c>
      <c r="F27" s="1" t="s">
        <v>57</v>
      </c>
      <c r="G27" s="1">
        <f>LEN(Table3[[#This Row],[Sequence]])</f>
        <v>42</v>
      </c>
      <c r="H27" s="10"/>
    </row>
    <row r="28" spans="1:8" x14ac:dyDescent="0.55000000000000004">
      <c r="A28" s="2" t="s">
        <v>161</v>
      </c>
      <c r="B28" s="1" t="s">
        <v>657</v>
      </c>
      <c r="C28" s="5" t="str">
        <f t="shared" si="0"/>
        <v>A27 (7) P2 AmpR.r</v>
      </c>
      <c r="D28" s="10" t="s">
        <v>663</v>
      </c>
      <c r="F28" s="1" t="s">
        <v>57</v>
      </c>
      <c r="G28" s="1">
        <f>LEN(Table3[[#This Row],[Sequence]])</f>
        <v>35</v>
      </c>
      <c r="H28" s="10"/>
    </row>
    <row r="29" spans="1:8" x14ac:dyDescent="0.55000000000000004">
      <c r="A29" s="2" t="s">
        <v>162</v>
      </c>
      <c r="B29" s="1" t="s">
        <v>658</v>
      </c>
      <c r="C29" s="5" t="str">
        <f t="shared" si="0"/>
        <v>A28 (7) P1 KanR.r</v>
      </c>
      <c r="D29" s="10" t="s">
        <v>665</v>
      </c>
      <c r="F29" s="1" t="s">
        <v>57</v>
      </c>
      <c r="G29" s="1">
        <f>LEN(Table3[[#This Row],[Sequence]])</f>
        <v>43</v>
      </c>
      <c r="H29" s="10"/>
    </row>
    <row r="30" spans="1:8" x14ac:dyDescent="0.55000000000000004">
      <c r="A30" s="2" t="s">
        <v>163</v>
      </c>
      <c r="B30" s="1" t="s">
        <v>659</v>
      </c>
      <c r="C30" s="5" t="str">
        <f t="shared" si="0"/>
        <v>A29 (7) P2 KanR.r</v>
      </c>
      <c r="D30" s="10" t="s">
        <v>664</v>
      </c>
      <c r="F30" s="1" t="s">
        <v>57</v>
      </c>
      <c r="G30" s="1">
        <f>LEN(Table3[[#This Row],[Sequence]])</f>
        <v>38</v>
      </c>
      <c r="H30" s="10"/>
    </row>
    <row r="31" spans="1:8" x14ac:dyDescent="0.55000000000000004">
      <c r="A31" s="2" t="s">
        <v>164</v>
      </c>
      <c r="B31" s="1" t="s">
        <v>478</v>
      </c>
      <c r="C31" s="5" t="str">
        <f t="shared" si="0"/>
        <v>A30 (9) P1 ColE1_pUC</v>
      </c>
      <c r="D31" s="10" t="s">
        <v>226</v>
      </c>
      <c r="F31" s="1" t="s">
        <v>57</v>
      </c>
      <c r="G31" s="1">
        <f>LEN(Table3[[#This Row],[Sequence]])</f>
        <v>39</v>
      </c>
    </row>
    <row r="32" spans="1:8" x14ac:dyDescent="0.55000000000000004">
      <c r="A32" s="2" t="s">
        <v>165</v>
      </c>
      <c r="B32" s="1" t="s">
        <v>479</v>
      </c>
      <c r="C32" s="5" t="str">
        <f t="shared" si="0"/>
        <v>A31 (9) P2 ColE1_pUC</v>
      </c>
      <c r="D32" s="10" t="s">
        <v>228</v>
      </c>
      <c r="F32" s="1" t="s">
        <v>57</v>
      </c>
      <c r="G32" s="1">
        <f>LEN(Table3[[#This Row],[Sequence]])</f>
        <v>36</v>
      </c>
    </row>
    <row r="33" spans="1:9" x14ac:dyDescent="0.55000000000000004">
      <c r="A33" s="2" t="s">
        <v>166</v>
      </c>
      <c r="B33" s="1" t="s">
        <v>480</v>
      </c>
      <c r="C33" s="5" t="str">
        <f t="shared" si="0"/>
        <v>A32 (9) P1 p15A</v>
      </c>
      <c r="D33" s="10" t="s">
        <v>227</v>
      </c>
      <c r="F33" s="1" t="s">
        <v>57</v>
      </c>
      <c r="G33" s="1">
        <f>LEN(Table3[[#This Row],[Sequence]])</f>
        <v>45</v>
      </c>
    </row>
    <row r="34" spans="1:9" x14ac:dyDescent="0.55000000000000004">
      <c r="A34" s="2" t="s">
        <v>167</v>
      </c>
      <c r="B34" s="1" t="s">
        <v>481</v>
      </c>
      <c r="C34" s="5" t="str">
        <f t="shared" si="0"/>
        <v>A33 (9) P2 p15A</v>
      </c>
      <c r="D34" s="10" t="s">
        <v>229</v>
      </c>
      <c r="F34" s="1" t="s">
        <v>57</v>
      </c>
      <c r="G34" s="1">
        <f>LEN(Table3[[#This Row],[Sequence]])</f>
        <v>39</v>
      </c>
    </row>
    <row r="35" spans="1:9" x14ac:dyDescent="0.55000000000000004">
      <c r="A35" s="2" t="s">
        <v>168</v>
      </c>
      <c r="B35" s="1" t="s">
        <v>486</v>
      </c>
      <c r="C35" s="5" t="str">
        <f t="shared" si="0"/>
        <v>A34 (2345pr) P1 sfgfp,hc</v>
      </c>
      <c r="D35" s="10" t="s">
        <v>296</v>
      </c>
      <c r="E35" s="1" t="s">
        <v>271</v>
      </c>
      <c r="F35" s="1" t="s">
        <v>57</v>
      </c>
      <c r="G35" s="1">
        <f>LEN(Table3[[#This Row],[Sequence]])</f>
        <v>33</v>
      </c>
    </row>
    <row r="36" spans="1:9" x14ac:dyDescent="0.55000000000000004">
      <c r="A36" s="2" t="s">
        <v>169</v>
      </c>
      <c r="B36" s="1" t="s">
        <v>487</v>
      </c>
      <c r="C36" s="5" t="str">
        <f t="shared" si="0"/>
        <v>A35 (2345pr) P2 sfgfp,hc</v>
      </c>
      <c r="D36" s="10" t="s">
        <v>310</v>
      </c>
      <c r="E36" s="1" t="s">
        <v>271</v>
      </c>
      <c r="F36" s="1" t="s">
        <v>57</v>
      </c>
      <c r="G36" s="1">
        <f>LEN(Table3[[#This Row],[Sequence]])</f>
        <v>41</v>
      </c>
    </row>
    <row r="37" spans="1:9" x14ac:dyDescent="0.55000000000000004">
      <c r="A37" s="2" t="s">
        <v>170</v>
      </c>
      <c r="B37" s="1" t="s">
        <v>488</v>
      </c>
      <c r="C37" s="5" t="str">
        <f t="shared" si="0"/>
        <v>A36 (2345pr) P1 sfgfp,hc-rrfBt1</v>
      </c>
      <c r="D37" s="10" t="s">
        <v>393</v>
      </c>
      <c r="E37" s="1" t="s">
        <v>219</v>
      </c>
      <c r="F37" s="1" t="s">
        <v>57</v>
      </c>
      <c r="G37" s="1">
        <f>LEN(Table3[[#This Row],[Sequence]])</f>
        <v>42</v>
      </c>
    </row>
    <row r="38" spans="1:9" x14ac:dyDescent="0.55000000000000004">
      <c r="A38" s="2" t="s">
        <v>171</v>
      </c>
      <c r="B38" s="1" t="s">
        <v>489</v>
      </c>
      <c r="C38" s="5" t="str">
        <f t="shared" si="0"/>
        <v>A37 (2345pr) P2 sfgfp,hc-rrfBt1</v>
      </c>
      <c r="D38" s="10" t="s">
        <v>301</v>
      </c>
      <c r="E38" s="1" t="s">
        <v>219</v>
      </c>
      <c r="F38" s="1" t="s">
        <v>57</v>
      </c>
      <c r="G38" s="1">
        <f>LEN(Table3[[#This Row],[Sequence]])</f>
        <v>38</v>
      </c>
    </row>
    <row r="39" spans="1:9" x14ac:dyDescent="0.55000000000000004">
      <c r="A39" s="2" t="s">
        <v>172</v>
      </c>
      <c r="B39" s="1" t="s">
        <v>490</v>
      </c>
      <c r="C39" s="5" t="str">
        <f t="shared" si="0"/>
        <v>A38 (2345pr) P3 rrfBt1</v>
      </c>
      <c r="D39" s="10" t="s">
        <v>302</v>
      </c>
      <c r="E39" s="1" t="s">
        <v>295</v>
      </c>
      <c r="F39" s="1" t="s">
        <v>57</v>
      </c>
      <c r="G39" s="1">
        <f>LEN(Table3[[#This Row],[Sequence]])</f>
        <v>38</v>
      </c>
    </row>
    <row r="40" spans="1:9" x14ac:dyDescent="0.55000000000000004">
      <c r="A40" s="2" t="s">
        <v>173</v>
      </c>
      <c r="B40" s="1" t="s">
        <v>491</v>
      </c>
      <c r="C40" s="5" t="str">
        <f t="shared" si="0"/>
        <v>A39 (2345pr0) P4 rrfBt1</v>
      </c>
      <c r="D40" s="10" t="s">
        <v>303</v>
      </c>
      <c r="E40" s="1" t="s">
        <v>295</v>
      </c>
      <c r="F40" s="1" t="s">
        <v>57</v>
      </c>
      <c r="G40" s="1">
        <f>LEN(Table3[[#This Row],[Sequence]])</f>
        <v>40</v>
      </c>
    </row>
    <row r="41" spans="1:9" x14ac:dyDescent="0.55000000000000004">
      <c r="A41" s="2" t="s">
        <v>174</v>
      </c>
      <c r="B41" s="1" t="s">
        <v>683</v>
      </c>
      <c r="C41" s="5" t="str">
        <f t="shared" si="0"/>
        <v>A40 (1-6r0) sfgfp P1</v>
      </c>
      <c r="D41" s="16" t="s">
        <v>1050</v>
      </c>
      <c r="E41" s="1" t="s">
        <v>1054</v>
      </c>
      <c r="F41" s="1" t="s">
        <v>57</v>
      </c>
      <c r="G41" s="1">
        <f>LEN(Table3[[#This Row],[Sequence]])</f>
        <v>57</v>
      </c>
      <c r="I41" s="10"/>
    </row>
    <row r="42" spans="1:9" x14ac:dyDescent="0.55000000000000004">
      <c r="A42" s="2" t="s">
        <v>175</v>
      </c>
      <c r="B42" s="1" t="s">
        <v>684</v>
      </c>
      <c r="C42" s="5" t="str">
        <f t="shared" si="0"/>
        <v>A41 (1-6r0) sfgfp P2</v>
      </c>
      <c r="D42" s="15" t="s">
        <v>1051</v>
      </c>
      <c r="E42" s="1" t="s">
        <v>1055</v>
      </c>
      <c r="F42" s="1" t="s">
        <v>57</v>
      </c>
      <c r="G42" s="1">
        <f>LEN(Table3[[#This Row],[Sequence]])</f>
        <v>37</v>
      </c>
      <c r="I42" s="10"/>
    </row>
    <row r="43" spans="1:9" x14ac:dyDescent="0.55000000000000004">
      <c r="A43" s="2" t="s">
        <v>176</v>
      </c>
      <c r="B43" s="1" t="s">
        <v>685</v>
      </c>
      <c r="C43" s="5" t="str">
        <f t="shared" si="0"/>
        <v>A42 (1-6r1) sfgfp P1</v>
      </c>
      <c r="D43" s="16" t="s">
        <v>1048</v>
      </c>
      <c r="E43" s="1" t="s">
        <v>1054</v>
      </c>
      <c r="F43" s="1" t="s">
        <v>57</v>
      </c>
      <c r="G43" s="1">
        <f>LEN(Table3[[#This Row],[Sequence]])</f>
        <v>57</v>
      </c>
      <c r="I43" s="10"/>
    </row>
    <row r="44" spans="1:9" x14ac:dyDescent="0.55000000000000004">
      <c r="A44" s="2" t="s">
        <v>177</v>
      </c>
      <c r="B44" s="1" t="s">
        <v>686</v>
      </c>
      <c r="C44" s="5" t="str">
        <f t="shared" si="0"/>
        <v>A43 (1-6r1) sfgfp P2</v>
      </c>
      <c r="D44" s="15" t="s">
        <v>1049</v>
      </c>
      <c r="E44" s="1" t="s">
        <v>1055</v>
      </c>
      <c r="F44" s="1" t="s">
        <v>57</v>
      </c>
      <c r="G44" s="1">
        <f>LEN(Table3[[#This Row],[Sequence]])</f>
        <v>37</v>
      </c>
      <c r="I44" s="10"/>
    </row>
    <row r="45" spans="1:9" x14ac:dyDescent="0.55000000000000004">
      <c r="A45" s="2" t="s">
        <v>178</v>
      </c>
      <c r="B45" s="1" t="s">
        <v>220</v>
      </c>
      <c r="C45" s="5" t="str">
        <f t="shared" si="0"/>
        <v>A44 ChlR P1 part vector</v>
      </c>
      <c r="D45" s="10" t="s">
        <v>265</v>
      </c>
      <c r="F45" s="1" t="s">
        <v>57</v>
      </c>
      <c r="G45" s="1">
        <f>LEN(Table3[[#This Row],[Sequence]])</f>
        <v>33</v>
      </c>
    </row>
    <row r="46" spans="1:9" x14ac:dyDescent="0.55000000000000004">
      <c r="A46" s="2" t="s">
        <v>179</v>
      </c>
      <c r="B46" s="1" t="s">
        <v>221</v>
      </c>
      <c r="C46" s="5" t="str">
        <f t="shared" si="0"/>
        <v>A45 ChlR P2 part vector</v>
      </c>
      <c r="D46" s="10" t="s">
        <v>266</v>
      </c>
      <c r="F46" s="1" t="s">
        <v>57</v>
      </c>
      <c r="G46" s="1">
        <f>LEN(Table3[[#This Row],[Sequence]])</f>
        <v>32</v>
      </c>
    </row>
    <row r="47" spans="1:9" x14ac:dyDescent="0.55000000000000004">
      <c r="A47" s="2" t="s">
        <v>180</v>
      </c>
      <c r="B47" s="1" t="s">
        <v>222</v>
      </c>
      <c r="C47" s="5" t="str">
        <f t="shared" si="0"/>
        <v>A46 pUC P1 part vector</v>
      </c>
      <c r="D47" s="10" t="s">
        <v>267</v>
      </c>
      <c r="F47" s="1" t="s">
        <v>57</v>
      </c>
      <c r="G47" s="1">
        <f>LEN(Table3[[#This Row],[Sequence]])</f>
        <v>35</v>
      </c>
    </row>
    <row r="48" spans="1:9" x14ac:dyDescent="0.55000000000000004">
      <c r="A48" s="2" t="s">
        <v>181</v>
      </c>
      <c r="B48" s="1" t="s">
        <v>223</v>
      </c>
      <c r="C48" s="5" t="str">
        <f t="shared" si="0"/>
        <v>A47 pUC P2 part vector</v>
      </c>
      <c r="D48" s="10" t="s">
        <v>268</v>
      </c>
      <c r="F48" s="1" t="s">
        <v>57</v>
      </c>
      <c r="G48" s="1">
        <f>LEN(Table3[[#This Row],[Sequence]])</f>
        <v>32</v>
      </c>
    </row>
    <row r="49" spans="1:7" x14ac:dyDescent="0.55000000000000004">
      <c r="A49" s="2" t="s">
        <v>182</v>
      </c>
      <c r="B49" s="1" t="s">
        <v>482</v>
      </c>
      <c r="C49" s="5" t="str">
        <f t="shared" si="0"/>
        <v>A48 (8) spacer O1 part vector</v>
      </c>
      <c r="D49" s="10" t="s">
        <v>224</v>
      </c>
      <c r="F49" s="1" t="s">
        <v>57</v>
      </c>
      <c r="G49" s="1">
        <f>LEN(Table3[[#This Row],[Sequence]])</f>
        <v>34</v>
      </c>
    </row>
    <row r="50" spans="1:7" x14ac:dyDescent="0.55000000000000004">
      <c r="A50" s="2" t="s">
        <v>183</v>
      </c>
      <c r="B50" s="1" t="s">
        <v>483</v>
      </c>
      <c r="C50" s="5" t="str">
        <f t="shared" si="0"/>
        <v>A49 (8) spacer O2 part vector</v>
      </c>
      <c r="D50" s="10" t="s">
        <v>225</v>
      </c>
      <c r="F50" s="1" t="s">
        <v>57</v>
      </c>
      <c r="G50" s="1">
        <f>LEN(Table3[[#This Row],[Sequence]])</f>
        <v>34</v>
      </c>
    </row>
    <row r="51" spans="1:7" x14ac:dyDescent="0.55000000000000004">
      <c r="A51" s="2" t="s">
        <v>184</v>
      </c>
      <c r="B51" s="8" t="s">
        <v>484</v>
      </c>
      <c r="C51" s="12" t="str">
        <f t="shared" si="0"/>
        <v>A50 (8) spacer O1</v>
      </c>
      <c r="D51" s="11" t="s">
        <v>232</v>
      </c>
      <c r="F51" s="1" t="s">
        <v>57</v>
      </c>
      <c r="G51" s="1">
        <f>LEN(Table3[[#This Row],[Sequence]])</f>
        <v>42</v>
      </c>
    </row>
    <row r="52" spans="1:7" x14ac:dyDescent="0.55000000000000004">
      <c r="A52" s="2" t="s">
        <v>185</v>
      </c>
      <c r="B52" s="8" t="s">
        <v>485</v>
      </c>
      <c r="C52" s="12" t="str">
        <f t="shared" si="0"/>
        <v>A51 (8) spacer O2</v>
      </c>
      <c r="D52" s="11" t="s">
        <v>233</v>
      </c>
      <c r="F52" s="1" t="s">
        <v>57</v>
      </c>
      <c r="G52" s="1">
        <f>LEN(Table3[[#This Row],[Sequence]])</f>
        <v>42</v>
      </c>
    </row>
    <row r="53" spans="1:7" x14ac:dyDescent="0.55000000000000004">
      <c r="A53" s="2" t="s">
        <v>186</v>
      </c>
      <c r="B53" s="1" t="s">
        <v>299</v>
      </c>
      <c r="C53" s="12" t="str">
        <f t="shared" si="0"/>
        <v>A52 (56p0) ChlR ConX vector P1</v>
      </c>
      <c r="D53" s="10" t="s">
        <v>269</v>
      </c>
      <c r="F53" s="1" t="s">
        <v>57</v>
      </c>
      <c r="G53" s="1">
        <f>LEN(Table3[[#This Row],[Sequence]])</f>
        <v>50</v>
      </c>
    </row>
    <row r="54" spans="1:7" x14ac:dyDescent="0.55000000000000004">
      <c r="A54" s="2" t="s">
        <v>187</v>
      </c>
      <c r="B54" s="1" t="s">
        <v>298</v>
      </c>
      <c r="C54" s="12" t="str">
        <f t="shared" si="0"/>
        <v>A53 (81p0) pUC ConX vector P2</v>
      </c>
      <c r="D54" s="10" t="s">
        <v>270</v>
      </c>
      <c r="F54" s="1" t="s">
        <v>57</v>
      </c>
      <c r="G54" s="1">
        <f>LEN(Table3[[#This Row],[Sequence]])</f>
        <v>49</v>
      </c>
    </row>
    <row r="55" spans="1:7" x14ac:dyDescent="0.55000000000000004">
      <c r="A55" s="2" t="s">
        <v>188</v>
      </c>
      <c r="B55" s="1" t="s">
        <v>305</v>
      </c>
      <c r="C55" s="12" t="str">
        <f t="shared" si="0"/>
        <v>A54 (56p1) AmpR ConX' vector P1</v>
      </c>
      <c r="D55" s="10" t="s">
        <v>392</v>
      </c>
      <c r="F55" s="1" t="s">
        <v>57</v>
      </c>
      <c r="G55" s="1">
        <f>LEN(Table3[[#This Row],[Sequence]])</f>
        <v>56</v>
      </c>
    </row>
    <row r="56" spans="1:7" x14ac:dyDescent="0.55000000000000004">
      <c r="A56" s="2" t="s">
        <v>189</v>
      </c>
      <c r="B56" s="1" t="s">
        <v>309</v>
      </c>
      <c r="C56" s="12" t="str">
        <f t="shared" si="0"/>
        <v>A55 (81p1) pUC ConX' vector P2</v>
      </c>
      <c r="D56" s="10" t="s">
        <v>394</v>
      </c>
      <c r="F56" s="1" t="s">
        <v>57</v>
      </c>
      <c r="G56" s="1">
        <f>LEN(Table3[[#This Row],[Sequence]])</f>
        <v>49</v>
      </c>
    </row>
    <row r="57" spans="1:7" x14ac:dyDescent="0.55000000000000004">
      <c r="A57" s="2" t="s">
        <v>190</v>
      </c>
      <c r="B57" s="1" t="s">
        <v>239</v>
      </c>
      <c r="C57" s="12" t="str">
        <f t="shared" si="0"/>
        <v>A56 (1) ConL O1</v>
      </c>
      <c r="D57" s="10" t="s">
        <v>236</v>
      </c>
      <c r="F57" s="1" t="s">
        <v>57</v>
      </c>
      <c r="G57" s="1">
        <f>LEN(Table3[[#This Row],[Sequence]])</f>
        <v>28</v>
      </c>
    </row>
    <row r="58" spans="1:7" x14ac:dyDescent="0.55000000000000004">
      <c r="A58" s="2" t="s">
        <v>191</v>
      </c>
      <c r="B58" s="1" t="s">
        <v>240</v>
      </c>
      <c r="C58" s="12" t="str">
        <f t="shared" si="0"/>
        <v>A57 (1) ConL O2</v>
      </c>
      <c r="D58" s="10" t="s">
        <v>235</v>
      </c>
      <c r="F58" s="1" t="s">
        <v>57</v>
      </c>
      <c r="G58" s="1">
        <f>LEN(Table3[[#This Row],[Sequence]])</f>
        <v>37</v>
      </c>
    </row>
    <row r="59" spans="1:7" x14ac:dyDescent="0.55000000000000004">
      <c r="A59" s="2" t="s">
        <v>192</v>
      </c>
      <c r="B59" s="1" t="s">
        <v>241</v>
      </c>
      <c r="C59" s="12" t="str">
        <f t="shared" si="0"/>
        <v>A58 (1) ConL O3</v>
      </c>
      <c r="D59" s="10" t="s">
        <v>234</v>
      </c>
      <c r="F59" s="1" t="s">
        <v>57</v>
      </c>
      <c r="G59" s="1">
        <f>LEN(Table3[[#This Row],[Sequence]])</f>
        <v>35</v>
      </c>
    </row>
    <row r="60" spans="1:7" x14ac:dyDescent="0.55000000000000004">
      <c r="A60" s="2" t="s">
        <v>193</v>
      </c>
      <c r="B60" s="1" t="s">
        <v>242</v>
      </c>
      <c r="C60" s="12" t="str">
        <f t="shared" si="0"/>
        <v>A59 (1) ConL O4</v>
      </c>
      <c r="D60" s="10" t="s">
        <v>261</v>
      </c>
      <c r="F60" s="1" t="s">
        <v>57</v>
      </c>
      <c r="G60" s="1">
        <f>LEN(Table3[[#This Row],[Sequence]])</f>
        <v>34</v>
      </c>
    </row>
    <row r="61" spans="1:7" x14ac:dyDescent="0.55000000000000004">
      <c r="A61" s="2" t="s">
        <v>194</v>
      </c>
      <c r="B61" s="1" t="s">
        <v>243</v>
      </c>
      <c r="C61" s="12" t="str">
        <f t="shared" si="0"/>
        <v>A60 (1) ConL O5</v>
      </c>
      <c r="D61" s="10" t="s">
        <v>237</v>
      </c>
      <c r="F61" s="1" t="s">
        <v>57</v>
      </c>
      <c r="G61" s="1">
        <f>LEN(Table3[[#This Row],[Sequence]])</f>
        <v>43</v>
      </c>
    </row>
    <row r="62" spans="1:7" x14ac:dyDescent="0.55000000000000004">
      <c r="A62" s="2" t="s">
        <v>195</v>
      </c>
      <c r="B62" s="1" t="s">
        <v>244</v>
      </c>
      <c r="C62" s="12" t="str">
        <f t="shared" si="0"/>
        <v>A61 (1) ConL O6</v>
      </c>
      <c r="D62" s="10" t="s">
        <v>238</v>
      </c>
      <c r="F62" s="1" t="s">
        <v>57</v>
      </c>
      <c r="G62" s="1">
        <f>LEN(Table3[[#This Row],[Sequence]])</f>
        <v>32</v>
      </c>
    </row>
    <row r="63" spans="1:7" x14ac:dyDescent="0.55000000000000004">
      <c r="A63" s="2" t="s">
        <v>196</v>
      </c>
      <c r="B63" s="1" t="s">
        <v>245</v>
      </c>
      <c r="C63" s="12" t="str">
        <f t="shared" si="0"/>
        <v>A62 (1) ConL O7</v>
      </c>
      <c r="D63" s="10" t="s">
        <v>262</v>
      </c>
      <c r="F63" s="1" t="s">
        <v>57</v>
      </c>
      <c r="G63" s="1">
        <f>LEN(Table3[[#This Row],[Sequence]])</f>
        <v>33</v>
      </c>
    </row>
    <row r="64" spans="1:7" x14ac:dyDescent="0.55000000000000004">
      <c r="A64" s="2" t="s">
        <v>197</v>
      </c>
      <c r="B64" s="1" t="s">
        <v>246</v>
      </c>
      <c r="C64" s="12" t="str">
        <f t="shared" si="0"/>
        <v>A63 (1) ConL O8</v>
      </c>
      <c r="D64" s="10" t="s">
        <v>263</v>
      </c>
      <c r="F64" s="1" t="s">
        <v>57</v>
      </c>
      <c r="G64" s="1">
        <f>LEN(Table3[[#This Row],[Sequence]])</f>
        <v>26</v>
      </c>
    </row>
    <row r="65" spans="1:8" x14ac:dyDescent="0.55000000000000004">
      <c r="A65" s="2" t="s">
        <v>198</v>
      </c>
      <c r="B65" s="1" t="s">
        <v>247</v>
      </c>
      <c r="C65" s="12" t="str">
        <f t="shared" si="0"/>
        <v>A64 ConLp1 O9</v>
      </c>
      <c r="D65" s="10" t="s">
        <v>249</v>
      </c>
      <c r="F65" s="1" t="s">
        <v>57</v>
      </c>
      <c r="G65" s="1">
        <f>LEN(Table3[[#This Row],[Sequence]])</f>
        <v>20</v>
      </c>
    </row>
    <row r="66" spans="1:8" x14ac:dyDescent="0.55000000000000004">
      <c r="A66" s="2" t="s">
        <v>199</v>
      </c>
      <c r="B66" s="1" t="s">
        <v>248</v>
      </c>
      <c r="C66" s="12" t="str">
        <f t="shared" ref="C66:C129" si="1">CONCATENATE(A66," ",B66)</f>
        <v>A65 ConLp1 O10</v>
      </c>
      <c r="D66" s="10" t="s">
        <v>250</v>
      </c>
      <c r="F66" s="1" t="s">
        <v>57</v>
      </c>
      <c r="G66" s="1">
        <f>LEN(Table3[[#This Row],[Sequence]])</f>
        <v>20</v>
      </c>
    </row>
    <row r="67" spans="1:8" x14ac:dyDescent="0.55000000000000004">
      <c r="A67" s="2" t="s">
        <v>200</v>
      </c>
      <c r="B67" s="1" t="s">
        <v>503</v>
      </c>
      <c r="C67" s="12" t="str">
        <f t="shared" si="1"/>
        <v>A66 (6) ConR O1</v>
      </c>
      <c r="D67" s="10" t="s">
        <v>253</v>
      </c>
      <c r="F67" s="1" t="s">
        <v>57</v>
      </c>
      <c r="G67" s="1">
        <f>LEN(Table3[[#This Row],[Sequence]])</f>
        <v>37</v>
      </c>
    </row>
    <row r="68" spans="1:8" x14ac:dyDescent="0.55000000000000004">
      <c r="A68" s="2" t="s">
        <v>201</v>
      </c>
      <c r="B68" s="1" t="s">
        <v>504</v>
      </c>
      <c r="C68" s="12" t="str">
        <f t="shared" si="1"/>
        <v>A67 (6) ConR O2</v>
      </c>
      <c r="D68" s="10" t="s">
        <v>252</v>
      </c>
      <c r="F68" s="1" t="s">
        <v>57</v>
      </c>
      <c r="G68" s="1">
        <f>LEN(Table3[[#This Row],[Sequence]])</f>
        <v>36</v>
      </c>
    </row>
    <row r="69" spans="1:8" x14ac:dyDescent="0.55000000000000004">
      <c r="A69" s="2" t="s">
        <v>202</v>
      </c>
      <c r="B69" s="1" t="s">
        <v>505</v>
      </c>
      <c r="C69" s="12" t="str">
        <f t="shared" si="1"/>
        <v>A68 (6) ConR O3</v>
      </c>
      <c r="D69" s="10" t="s">
        <v>251</v>
      </c>
      <c r="F69" s="1" t="s">
        <v>57</v>
      </c>
      <c r="G69" s="1">
        <f>LEN(Table3[[#This Row],[Sequence]])</f>
        <v>36</v>
      </c>
    </row>
    <row r="70" spans="1:8" x14ac:dyDescent="0.55000000000000004">
      <c r="A70" s="2" t="s">
        <v>203</v>
      </c>
      <c r="B70" s="1" t="s">
        <v>506</v>
      </c>
      <c r="C70" s="12" t="str">
        <f t="shared" si="1"/>
        <v>A69 (6) ConR O4</v>
      </c>
      <c r="D70" s="10" t="s">
        <v>254</v>
      </c>
      <c r="F70" s="1" t="s">
        <v>57</v>
      </c>
      <c r="G70" s="1">
        <f>LEN(Table3[[#This Row],[Sequence]])</f>
        <v>46</v>
      </c>
    </row>
    <row r="71" spans="1:8" x14ac:dyDescent="0.55000000000000004">
      <c r="A71" s="2" t="s">
        <v>204</v>
      </c>
      <c r="B71" s="1" t="s">
        <v>507</v>
      </c>
      <c r="C71" s="12" t="str">
        <f t="shared" si="1"/>
        <v>A70 (6) ConR O5</v>
      </c>
      <c r="D71" s="10" t="s">
        <v>258</v>
      </c>
      <c r="F71" s="1" t="s">
        <v>57</v>
      </c>
      <c r="G71" s="1">
        <f>LEN(Table3[[#This Row],[Sequence]])</f>
        <v>45</v>
      </c>
    </row>
    <row r="72" spans="1:8" x14ac:dyDescent="0.55000000000000004">
      <c r="A72" s="2" t="s">
        <v>205</v>
      </c>
      <c r="B72" s="1" t="s">
        <v>508</v>
      </c>
      <c r="C72" s="12" t="str">
        <f t="shared" si="1"/>
        <v>A71 (6) ConR O6</v>
      </c>
      <c r="D72" s="10" t="s">
        <v>257</v>
      </c>
      <c r="F72" s="1" t="s">
        <v>57</v>
      </c>
      <c r="G72" s="1">
        <f>LEN(Table3[[#This Row],[Sequence]])</f>
        <v>38</v>
      </c>
    </row>
    <row r="73" spans="1:8" x14ac:dyDescent="0.55000000000000004">
      <c r="A73" s="2" t="s">
        <v>206</v>
      </c>
      <c r="B73" s="1" t="s">
        <v>509</v>
      </c>
      <c r="C73" s="12" t="str">
        <f t="shared" si="1"/>
        <v>A72 (6) ConR O7</v>
      </c>
      <c r="D73" s="10" t="s">
        <v>256</v>
      </c>
      <c r="F73" s="1" t="s">
        <v>57</v>
      </c>
      <c r="G73" s="1">
        <f>LEN(Table3[[#This Row],[Sequence]])</f>
        <v>39</v>
      </c>
    </row>
    <row r="74" spans="1:8" x14ac:dyDescent="0.55000000000000004">
      <c r="A74" s="2" t="s">
        <v>207</v>
      </c>
      <c r="B74" s="1" t="s">
        <v>510</v>
      </c>
      <c r="C74" s="12" t="str">
        <f t="shared" si="1"/>
        <v>A73 (6) ConR O8</v>
      </c>
      <c r="D74" s="10" t="s">
        <v>255</v>
      </c>
      <c r="F74" s="1" t="s">
        <v>57</v>
      </c>
      <c r="G74" s="1">
        <f>LEN(Table3[[#This Row],[Sequence]])</f>
        <v>33</v>
      </c>
    </row>
    <row r="75" spans="1:8" x14ac:dyDescent="0.55000000000000004">
      <c r="A75" s="2" t="s">
        <v>208</v>
      </c>
      <c r="B75" s="1" t="s">
        <v>511</v>
      </c>
      <c r="C75" s="12" t="str">
        <f t="shared" si="1"/>
        <v>A74 (6) ConRp1 O9</v>
      </c>
      <c r="D75" s="10" t="s">
        <v>259</v>
      </c>
      <c r="F75" s="1" t="s">
        <v>57</v>
      </c>
      <c r="G75" s="1">
        <f>LEN(Table3[[#This Row],[Sequence]])</f>
        <v>21</v>
      </c>
    </row>
    <row r="76" spans="1:8" x14ac:dyDescent="0.55000000000000004">
      <c r="A76" s="2" t="s">
        <v>209</v>
      </c>
      <c r="B76" s="1" t="s">
        <v>512</v>
      </c>
      <c r="C76" s="12" t="str">
        <f t="shared" si="1"/>
        <v>A75 (6) ConRp1 O10</v>
      </c>
      <c r="D76" s="10" t="s">
        <v>260</v>
      </c>
      <c r="F76" s="1" t="s">
        <v>57</v>
      </c>
      <c r="G76" s="1">
        <f>LEN(Table3[[#This Row],[Sequence]])</f>
        <v>21</v>
      </c>
    </row>
    <row r="77" spans="1:8" x14ac:dyDescent="0.55000000000000004">
      <c r="A77" s="2" t="s">
        <v>210</v>
      </c>
      <c r="B77" s="1" t="s">
        <v>653</v>
      </c>
      <c r="C77" s="12" t="str">
        <f t="shared" si="1"/>
        <v>A76 (4ab) P2 Ec.araCΔC13</v>
      </c>
      <c r="D77" s="9" t="s">
        <v>652</v>
      </c>
      <c r="F77" s="1" t="s">
        <v>57</v>
      </c>
      <c r="G77" s="1">
        <f>LEN(Table3[[#This Row],[Sequence]])</f>
        <v>37</v>
      </c>
    </row>
    <row r="78" spans="1:8" x14ac:dyDescent="0.55000000000000004">
      <c r="A78" s="2" t="s">
        <v>211</v>
      </c>
      <c r="B78" s="1" t="s">
        <v>492</v>
      </c>
      <c r="C78" s="12" t="str">
        <f t="shared" si="1"/>
        <v>A77 (2345pr0) P1 ccdB</v>
      </c>
      <c r="D78" s="10" t="s">
        <v>297</v>
      </c>
      <c r="F78" s="1" t="s">
        <v>57</v>
      </c>
      <c r="G78" s="1">
        <f>LEN(Table3[[#This Row],[Sequence]])</f>
        <v>39</v>
      </c>
    </row>
    <row r="79" spans="1:8" x14ac:dyDescent="0.55000000000000004">
      <c r="A79" s="2" t="s">
        <v>212</v>
      </c>
      <c r="B79" s="1" t="s">
        <v>493</v>
      </c>
      <c r="C79" s="12" t="str">
        <f t="shared" si="1"/>
        <v>A78 (2345pr0) P2 ccdB-rrfBt1</v>
      </c>
      <c r="D79" s="10" t="s">
        <v>300</v>
      </c>
      <c r="F79" s="1" t="s">
        <v>57</v>
      </c>
      <c r="G79" s="1">
        <f>LEN(Table3[[#This Row],[Sequence]])</f>
        <v>37</v>
      </c>
    </row>
    <row r="80" spans="1:8" x14ac:dyDescent="0.55000000000000004">
      <c r="A80" s="2" t="s">
        <v>213</v>
      </c>
      <c r="B80" s="1" t="s">
        <v>494</v>
      </c>
      <c r="C80" s="12" t="str">
        <f t="shared" si="1"/>
        <v>A79 (2345pr0) P1 glpTp-sfgfp</v>
      </c>
      <c r="D80" s="10" t="s">
        <v>304</v>
      </c>
      <c r="F80" s="1" t="s">
        <v>57</v>
      </c>
      <c r="G80" s="1">
        <f>LEN(Table3[[#This Row],[Sequence]])</f>
        <v>37</v>
      </c>
      <c r="H80" s="1">
        <v>58</v>
      </c>
    </row>
    <row r="81" spans="1:8" x14ac:dyDescent="0.55000000000000004">
      <c r="A81" s="2" t="s">
        <v>214</v>
      </c>
      <c r="B81" s="1" t="s">
        <v>306</v>
      </c>
      <c r="C81" s="12" t="str">
        <f t="shared" si="1"/>
        <v>A80 AmpR P2 part vector</v>
      </c>
      <c r="D81" s="10" t="s">
        <v>307</v>
      </c>
      <c r="F81" s="1" t="s">
        <v>57</v>
      </c>
      <c r="G81" s="1">
        <f>LEN(Table3[[#This Row],[Sequence]])</f>
        <v>32</v>
      </c>
    </row>
    <row r="82" spans="1:8" x14ac:dyDescent="0.55000000000000004">
      <c r="A82" s="2" t="s">
        <v>215</v>
      </c>
      <c r="B82" s="1" t="s">
        <v>222</v>
      </c>
      <c r="C82" s="12" t="str">
        <f t="shared" si="1"/>
        <v>A81 pUC P1 part vector</v>
      </c>
      <c r="D82" s="10" t="s">
        <v>308</v>
      </c>
      <c r="F82" s="1" t="s">
        <v>57</v>
      </c>
      <c r="G82" s="1">
        <f>LEN(Table3[[#This Row],[Sequence]])</f>
        <v>35</v>
      </c>
    </row>
    <row r="83" spans="1:8" x14ac:dyDescent="0.55000000000000004">
      <c r="A83" s="2" t="s">
        <v>311</v>
      </c>
      <c r="B83" s="1" t="s">
        <v>495</v>
      </c>
      <c r="C83" s="13" t="str">
        <f t="shared" si="1"/>
        <v>B01 (2345pr1) P1 ccdB</v>
      </c>
      <c r="D83" s="10" t="s">
        <v>397</v>
      </c>
      <c r="F83" s="1" t="s">
        <v>57</v>
      </c>
      <c r="G83" s="1">
        <f>LEN(Table3[[#This Row],[Sequence]])</f>
        <v>46</v>
      </c>
      <c r="H83" s="1">
        <v>58</v>
      </c>
    </row>
    <row r="84" spans="1:8" x14ac:dyDescent="0.55000000000000004">
      <c r="A84" s="2" t="s">
        <v>312</v>
      </c>
      <c r="B84" s="1" t="s">
        <v>496</v>
      </c>
      <c r="C84" s="13" t="str">
        <f t="shared" si="1"/>
        <v>B02 (2345pr1) P2 ccdB</v>
      </c>
      <c r="D84" s="10" t="s">
        <v>395</v>
      </c>
      <c r="F84" s="1" t="s">
        <v>57</v>
      </c>
      <c r="G84" s="1">
        <f>LEN(Table3[[#This Row],[Sequence]])</f>
        <v>29</v>
      </c>
    </row>
    <row r="85" spans="1:8" x14ac:dyDescent="0.55000000000000004">
      <c r="A85" s="2" t="s">
        <v>313</v>
      </c>
      <c r="B85" s="1" t="s">
        <v>497</v>
      </c>
      <c r="C85" s="13" t="str">
        <f t="shared" si="1"/>
        <v>B03 (2345pr1) P3 ccdB</v>
      </c>
      <c r="D85" s="10" t="s">
        <v>396</v>
      </c>
      <c r="F85" s="1" t="s">
        <v>57</v>
      </c>
      <c r="G85" s="1">
        <f>LEN(Table3[[#This Row],[Sequence]])</f>
        <v>28</v>
      </c>
      <c r="H85" s="1">
        <v>58</v>
      </c>
    </row>
    <row r="86" spans="1:8" x14ac:dyDescent="0.55000000000000004">
      <c r="A86" s="2" t="s">
        <v>314</v>
      </c>
      <c r="B86" s="1" t="s">
        <v>498</v>
      </c>
      <c r="C86" s="13" t="str">
        <f t="shared" si="1"/>
        <v>B04 (2345pr1) P4 rrfBt1</v>
      </c>
      <c r="D86" s="10" t="s">
        <v>398</v>
      </c>
      <c r="F86" s="1" t="s">
        <v>57</v>
      </c>
      <c r="G86" s="1">
        <f>LEN(Table3[[#This Row],[Sequence]])</f>
        <v>40</v>
      </c>
    </row>
    <row r="87" spans="1:8" x14ac:dyDescent="0.55000000000000004">
      <c r="A87" s="2" t="s">
        <v>315</v>
      </c>
      <c r="B87" s="1" t="s">
        <v>499</v>
      </c>
      <c r="C87" s="13" t="str">
        <f t="shared" si="1"/>
        <v>B05 (2345pr1) P1 glpTp-sfgfp</v>
      </c>
      <c r="D87" s="10" t="s">
        <v>500</v>
      </c>
      <c r="F87" s="1" t="s">
        <v>57</v>
      </c>
      <c r="G87" s="1">
        <f>LEN(Table3[[#This Row],[Sequence]])</f>
        <v>47</v>
      </c>
    </row>
    <row r="88" spans="1:8" x14ac:dyDescent="0.55000000000000004">
      <c r="A88" s="2" t="s">
        <v>316</v>
      </c>
      <c r="B88" s="1" t="s">
        <v>403</v>
      </c>
      <c r="C88" s="13" t="str">
        <f t="shared" si="1"/>
        <v>B06 (7) tetA(B) P1</v>
      </c>
      <c r="D88" s="10" t="s">
        <v>402</v>
      </c>
      <c r="F88" s="1" t="s">
        <v>57</v>
      </c>
      <c r="G88" s="1">
        <f>LEN(Table3[[#This Row],[Sequence]])</f>
        <v>40</v>
      </c>
      <c r="H88" s="1">
        <v>58</v>
      </c>
    </row>
    <row r="89" spans="1:8" x14ac:dyDescent="0.55000000000000004">
      <c r="A89" s="2" t="s">
        <v>317</v>
      </c>
      <c r="B89" s="1" t="s">
        <v>434</v>
      </c>
      <c r="C89" s="13" t="str">
        <f t="shared" si="1"/>
        <v>B07 (7) tetA(B)_rev P5</v>
      </c>
      <c r="D89" s="10" t="s">
        <v>435</v>
      </c>
      <c r="F89" s="1" t="s">
        <v>57</v>
      </c>
      <c r="G89" s="1">
        <f>LEN(Table3[[#This Row],[Sequence]])</f>
        <v>34</v>
      </c>
      <c r="H89" s="1">
        <v>58</v>
      </c>
    </row>
    <row r="90" spans="1:8" x14ac:dyDescent="0.55000000000000004">
      <c r="A90" s="2" t="s">
        <v>318</v>
      </c>
      <c r="B90" s="1" t="s">
        <v>423</v>
      </c>
      <c r="C90" s="13" t="str">
        <f t="shared" si="1"/>
        <v>B08 (7) tetA(B)_rev P4</v>
      </c>
      <c r="D90" s="10" t="s">
        <v>433</v>
      </c>
      <c r="F90" s="1" t="s">
        <v>57</v>
      </c>
      <c r="G90" s="1">
        <f>LEN(Table3[[#This Row],[Sequence]])</f>
        <v>30</v>
      </c>
      <c r="H90" s="1">
        <v>62</v>
      </c>
    </row>
    <row r="91" spans="1:8" x14ac:dyDescent="0.55000000000000004">
      <c r="A91" s="2" t="s">
        <v>319</v>
      </c>
      <c r="B91" s="1" t="s">
        <v>404</v>
      </c>
      <c r="C91" s="13" t="str">
        <f t="shared" si="1"/>
        <v>B09 (7) tetA(B) P4</v>
      </c>
      <c r="D91" s="10" t="s">
        <v>405</v>
      </c>
      <c r="F91" s="1" t="s">
        <v>57</v>
      </c>
      <c r="G91" s="1">
        <f>LEN(Table3[[#This Row],[Sequence]])</f>
        <v>45</v>
      </c>
      <c r="H91" s="1">
        <v>62</v>
      </c>
    </row>
    <row r="92" spans="1:8" x14ac:dyDescent="0.55000000000000004">
      <c r="A92" s="2" t="s">
        <v>320</v>
      </c>
      <c r="B92" s="1" t="s">
        <v>421</v>
      </c>
      <c r="C92" s="13" t="str">
        <f t="shared" si="1"/>
        <v>B10 (7) tetA(B)_rev P1</v>
      </c>
      <c r="D92" s="10" t="s">
        <v>424</v>
      </c>
      <c r="E92" s="1" t="s">
        <v>422</v>
      </c>
      <c r="F92" s="1" t="s">
        <v>57</v>
      </c>
      <c r="G92" s="1">
        <f>LEN(Table3[[#This Row],[Sequence]])</f>
        <v>41</v>
      </c>
    </row>
    <row r="93" spans="1:8" x14ac:dyDescent="0.55000000000000004">
      <c r="A93" s="2" t="s">
        <v>321</v>
      </c>
      <c r="B93" s="1" t="s">
        <v>430</v>
      </c>
      <c r="C93" s="13" t="str">
        <f t="shared" si="1"/>
        <v>B11 (7) tetA(B)_rev P6</v>
      </c>
      <c r="D93" s="10" t="s">
        <v>425</v>
      </c>
      <c r="F93" s="1" t="s">
        <v>57</v>
      </c>
      <c r="G93" s="1">
        <f>LEN(Table3[[#This Row],[Sequence]])</f>
        <v>42</v>
      </c>
    </row>
    <row r="94" spans="1:8" x14ac:dyDescent="0.55000000000000004">
      <c r="A94" s="2" t="s">
        <v>322</v>
      </c>
      <c r="B94" s="1" t="s">
        <v>1335</v>
      </c>
      <c r="C94" s="13" t="str">
        <f t="shared" si="1"/>
        <v>B12 (8) tonB/P14t O1</v>
      </c>
      <c r="D94" s="10" t="s">
        <v>1334</v>
      </c>
      <c r="F94" s="1" t="s">
        <v>57</v>
      </c>
      <c r="G94" s="1">
        <f>LEN(Table3[[#This Row],[Sequence]])</f>
        <v>54</v>
      </c>
    </row>
    <row r="95" spans="1:8" x14ac:dyDescent="0.55000000000000004">
      <c r="A95" s="2" t="s">
        <v>323</v>
      </c>
      <c r="B95" s="1" t="s">
        <v>1336</v>
      </c>
      <c r="C95" s="13" t="str">
        <f t="shared" si="1"/>
        <v>B13 (8) tonB/P14t O2</v>
      </c>
      <c r="D95" s="10" t="s">
        <v>1337</v>
      </c>
      <c r="F95" s="1" t="s">
        <v>57</v>
      </c>
      <c r="G95" s="1">
        <f>LEN(Table3[[#This Row],[Sequence]])</f>
        <v>51</v>
      </c>
    </row>
    <row r="96" spans="1:8" x14ac:dyDescent="0.55000000000000004">
      <c r="A96" s="2" t="s">
        <v>324</v>
      </c>
      <c r="B96" s="1" t="s">
        <v>431</v>
      </c>
      <c r="C96" s="13" t="str">
        <f t="shared" si="1"/>
        <v>B14 (7) tetA(B)_rev P2</v>
      </c>
      <c r="D96" s="10" t="s">
        <v>428</v>
      </c>
      <c r="F96" s="1" t="s">
        <v>57</v>
      </c>
      <c r="G96" s="1">
        <f>LEN(Table3[[#This Row],[Sequence]])</f>
        <v>34</v>
      </c>
    </row>
    <row r="97" spans="1:8" x14ac:dyDescent="0.55000000000000004">
      <c r="A97" s="2" t="s">
        <v>325</v>
      </c>
      <c r="B97" s="1" t="s">
        <v>432</v>
      </c>
      <c r="C97" s="13" t="str">
        <f t="shared" si="1"/>
        <v>B15 (7) tetA(B)_rev P3</v>
      </c>
      <c r="D97" s="10" t="s">
        <v>429</v>
      </c>
      <c r="F97" s="1" t="s">
        <v>57</v>
      </c>
      <c r="G97" s="1">
        <f>LEN(Table3[[#This Row],[Sequence]])</f>
        <v>33</v>
      </c>
    </row>
    <row r="98" spans="1:8" x14ac:dyDescent="0.55000000000000004">
      <c r="A98" s="2" t="s">
        <v>326</v>
      </c>
      <c r="C98" s="18" t="str">
        <f t="shared" si="1"/>
        <v xml:space="preserve">B16 </v>
      </c>
      <c r="D98" s="10"/>
      <c r="F98" s="1" t="s">
        <v>57</v>
      </c>
      <c r="G98" s="1">
        <f>LEN(Table3[[#This Row],[Sequence]])</f>
        <v>0</v>
      </c>
    </row>
    <row r="99" spans="1:8" x14ac:dyDescent="0.55000000000000004">
      <c r="A99" s="2" t="s">
        <v>327</v>
      </c>
      <c r="B99" s="1" t="s">
        <v>426</v>
      </c>
      <c r="C99" s="13" t="str">
        <f t="shared" si="1"/>
        <v>B17 ConL F seq</v>
      </c>
      <c r="D99" s="10" t="s">
        <v>437</v>
      </c>
      <c r="F99" s="1" t="s">
        <v>57</v>
      </c>
      <c r="G99" s="1">
        <f>LEN(Table3[[#This Row],[Sequence]])</f>
        <v>25</v>
      </c>
    </row>
    <row r="100" spans="1:8" x14ac:dyDescent="0.55000000000000004">
      <c r="A100" s="2" t="s">
        <v>328</v>
      </c>
      <c r="B100" s="1" t="s">
        <v>427</v>
      </c>
      <c r="C100" s="13" t="str">
        <f t="shared" si="1"/>
        <v>B18 ConR R seq</v>
      </c>
      <c r="D100" s="10" t="s">
        <v>436</v>
      </c>
      <c r="F100" s="1" t="s">
        <v>57</v>
      </c>
      <c r="G100" s="1">
        <f>LEN(Table3[[#This Row],[Sequence]])</f>
        <v>26</v>
      </c>
    </row>
    <row r="101" spans="1:8" x14ac:dyDescent="0.55000000000000004">
      <c r="A101" s="2" t="s">
        <v>329</v>
      </c>
      <c r="B101" s="1" t="s">
        <v>853</v>
      </c>
      <c r="C101" s="13" t="str">
        <f t="shared" si="1"/>
        <v>B19 (7) ChlR.r P1</v>
      </c>
      <c r="D101" s="10" t="s">
        <v>459</v>
      </c>
      <c r="F101" s="1" t="s">
        <v>57</v>
      </c>
      <c r="G101" s="1">
        <f>LEN(Table3[[#This Row],[Sequence]])</f>
        <v>37</v>
      </c>
      <c r="H101" s="1" t="s">
        <v>457</v>
      </c>
    </row>
    <row r="102" spans="1:8" x14ac:dyDescent="0.55000000000000004">
      <c r="A102" s="2" t="s">
        <v>330</v>
      </c>
      <c r="B102" s="1" t="s">
        <v>837</v>
      </c>
      <c r="C102" s="13" t="str">
        <f t="shared" si="1"/>
        <v>B20 (7) ChlR*.r P2</v>
      </c>
      <c r="D102" s="10" t="s">
        <v>460</v>
      </c>
      <c r="F102" s="1" t="s">
        <v>57</v>
      </c>
      <c r="G102" s="1">
        <f>LEN(Table3[[#This Row],[Sequence]])</f>
        <v>40</v>
      </c>
    </row>
    <row r="103" spans="1:8" x14ac:dyDescent="0.55000000000000004">
      <c r="A103" s="2" t="s">
        <v>331</v>
      </c>
      <c r="B103" s="1" t="s">
        <v>838</v>
      </c>
      <c r="C103" s="13" t="str">
        <f t="shared" si="1"/>
        <v>B21 (7) ChlR*.r P3</v>
      </c>
      <c r="D103" s="10" t="s">
        <v>461</v>
      </c>
      <c r="F103" s="1" t="s">
        <v>57</v>
      </c>
      <c r="G103" s="1">
        <f>LEN(Table3[[#This Row],[Sequence]])</f>
        <v>28</v>
      </c>
      <c r="H103" s="1">
        <v>65</v>
      </c>
    </row>
    <row r="104" spans="1:8" x14ac:dyDescent="0.55000000000000004">
      <c r="A104" s="2" t="s">
        <v>332</v>
      </c>
      <c r="B104" s="1" t="s">
        <v>839</v>
      </c>
      <c r="C104" s="13" t="str">
        <f t="shared" si="1"/>
        <v>B22 (7) ChlR*.r P4</v>
      </c>
      <c r="D104" s="10" t="s">
        <v>462</v>
      </c>
      <c r="F104" s="1" t="s">
        <v>57</v>
      </c>
      <c r="G104" s="1">
        <f>LEN(Table3[[#This Row],[Sequence]])</f>
        <v>35</v>
      </c>
    </row>
    <row r="105" spans="1:8" x14ac:dyDescent="0.55000000000000004">
      <c r="A105" s="2" t="s">
        <v>333</v>
      </c>
      <c r="B105" s="1" t="s">
        <v>840</v>
      </c>
      <c r="C105" s="13" t="str">
        <f t="shared" si="1"/>
        <v>B23 (7) ChlR*.r P5</v>
      </c>
      <c r="D105" s="10" t="s">
        <v>463</v>
      </c>
      <c r="F105" s="1" t="s">
        <v>57</v>
      </c>
      <c r="G105" s="1">
        <f>LEN(Table3[[#This Row],[Sequence]])</f>
        <v>37</v>
      </c>
      <c r="H105" s="1" t="s">
        <v>458</v>
      </c>
    </row>
    <row r="106" spans="1:8" x14ac:dyDescent="0.55000000000000004">
      <c r="A106" s="2" t="s">
        <v>334</v>
      </c>
      <c r="B106" s="1" t="s">
        <v>841</v>
      </c>
      <c r="C106" s="13" t="str">
        <f t="shared" si="1"/>
        <v>B24 (7) ChlR*.r P6</v>
      </c>
      <c r="D106" s="10" t="s">
        <v>464</v>
      </c>
      <c r="F106" s="1" t="s">
        <v>57</v>
      </c>
      <c r="G106" s="1">
        <f>LEN(Table3[[#This Row],[Sequence]])</f>
        <v>43</v>
      </c>
    </row>
    <row r="107" spans="1:8" x14ac:dyDescent="0.55000000000000004">
      <c r="A107" s="2" t="s">
        <v>335</v>
      </c>
      <c r="B107" s="1" t="s">
        <v>842</v>
      </c>
      <c r="C107" s="13" t="str">
        <f t="shared" si="1"/>
        <v>B25 (7) ChlR*.r P7</v>
      </c>
      <c r="D107" s="10" t="s">
        <v>465</v>
      </c>
      <c r="F107" s="1" t="s">
        <v>57</v>
      </c>
      <c r="G107" s="1">
        <f>LEN(Table3[[#This Row],[Sequence]])</f>
        <v>33</v>
      </c>
    </row>
    <row r="108" spans="1:8" x14ac:dyDescent="0.55000000000000004">
      <c r="A108" s="2" t="s">
        <v>336</v>
      </c>
      <c r="B108" s="1" t="s">
        <v>514</v>
      </c>
      <c r="C108" s="13" t="str">
        <f t="shared" si="1"/>
        <v>B26 (1p) ConL new O2</v>
      </c>
      <c r="D108" s="10" t="s">
        <v>502</v>
      </c>
      <c r="F108" s="1" t="s">
        <v>57</v>
      </c>
      <c r="G108" s="1">
        <f>LEN(Table3[[#This Row],[Sequence]])</f>
        <v>36</v>
      </c>
    </row>
    <row r="109" spans="1:8" x14ac:dyDescent="0.55000000000000004">
      <c r="A109" s="2" t="s">
        <v>337</v>
      </c>
      <c r="B109" s="1" t="s">
        <v>515</v>
      </c>
      <c r="C109" s="13" t="str">
        <f t="shared" si="1"/>
        <v>B27 (1p) ConL new O3</v>
      </c>
      <c r="D109" s="10" t="s">
        <v>513</v>
      </c>
      <c r="F109" s="1" t="s">
        <v>57</v>
      </c>
      <c r="G109" s="1">
        <f>LEN(Table3[[#This Row],[Sequence]])</f>
        <v>32</v>
      </c>
    </row>
    <row r="110" spans="1:8" x14ac:dyDescent="0.55000000000000004">
      <c r="A110" s="2" t="s">
        <v>338</v>
      </c>
      <c r="B110" s="1" t="s">
        <v>516</v>
      </c>
      <c r="C110" s="13" t="str">
        <f t="shared" si="1"/>
        <v>B28 (1p) ConL new O4</v>
      </c>
      <c r="D110" s="10" t="s">
        <v>522</v>
      </c>
      <c r="F110" s="1" t="s">
        <v>57</v>
      </c>
      <c r="G110" s="1">
        <f>LEN(Table3[[#This Row],[Sequence]])</f>
        <v>44</v>
      </c>
    </row>
    <row r="111" spans="1:8" x14ac:dyDescent="0.55000000000000004">
      <c r="A111" s="2" t="s">
        <v>339</v>
      </c>
      <c r="B111" s="1" t="s">
        <v>517</v>
      </c>
      <c r="C111" s="13" t="str">
        <f t="shared" si="1"/>
        <v>B29 (1p) ConL new O6</v>
      </c>
      <c r="D111" s="10" t="s">
        <v>520</v>
      </c>
      <c r="F111" s="1" t="s">
        <v>57</v>
      </c>
      <c r="G111" s="1">
        <f>LEN(Table3[[#This Row],[Sequence]])</f>
        <v>26</v>
      </c>
    </row>
    <row r="112" spans="1:8" x14ac:dyDescent="0.55000000000000004">
      <c r="A112" s="2" t="s">
        <v>340</v>
      </c>
      <c r="B112" s="1" t="s">
        <v>518</v>
      </c>
      <c r="C112" s="13" t="str">
        <f t="shared" si="1"/>
        <v>B30 (1p) ConL new O7</v>
      </c>
      <c r="D112" s="10" t="s">
        <v>521</v>
      </c>
      <c r="F112" s="1" t="s">
        <v>57</v>
      </c>
      <c r="G112" s="1">
        <f>LEN(Table3[[#This Row],[Sequence]])</f>
        <v>38</v>
      </c>
    </row>
    <row r="113" spans="1:7" x14ac:dyDescent="0.55000000000000004">
      <c r="A113" s="2" t="s">
        <v>341</v>
      </c>
      <c r="B113" s="1" t="s">
        <v>519</v>
      </c>
      <c r="C113" s="13" t="str">
        <f t="shared" si="1"/>
        <v>B31 (1p) ConL new O8</v>
      </c>
      <c r="D113" s="10" t="s">
        <v>523</v>
      </c>
      <c r="F113" s="1" t="s">
        <v>57</v>
      </c>
      <c r="G113" s="1">
        <f>LEN(Table3[[#This Row],[Sequence]])</f>
        <v>33</v>
      </c>
    </row>
    <row r="114" spans="1:7" x14ac:dyDescent="0.55000000000000004">
      <c r="A114" s="2" t="s">
        <v>342</v>
      </c>
      <c r="B114" s="1" t="s">
        <v>524</v>
      </c>
      <c r="C114" s="13" t="str">
        <f t="shared" si="1"/>
        <v>B32 (6p) ConR new O1</v>
      </c>
      <c r="D114" s="10" t="s">
        <v>525</v>
      </c>
      <c r="F114" s="1" t="s">
        <v>57</v>
      </c>
      <c r="G114" s="1">
        <f>LEN(Table3[[#This Row],[Sequence]])</f>
        <v>47</v>
      </c>
    </row>
    <row r="115" spans="1:7" x14ac:dyDescent="0.55000000000000004">
      <c r="A115" s="2" t="s">
        <v>343</v>
      </c>
      <c r="B115" s="1" t="s">
        <v>526</v>
      </c>
      <c r="C115" s="13" t="str">
        <f t="shared" si="1"/>
        <v>B33 (6p) ConR new O5</v>
      </c>
      <c r="D115" s="10" t="s">
        <v>527</v>
      </c>
      <c r="F115" s="1" t="s">
        <v>57</v>
      </c>
      <c r="G115" s="1">
        <f>LEN(Table3[[#This Row],[Sequence]])</f>
        <v>55</v>
      </c>
    </row>
    <row r="116" spans="1:7" x14ac:dyDescent="0.55000000000000004">
      <c r="A116" s="2" t="s">
        <v>344</v>
      </c>
      <c r="B116" s="1" t="s">
        <v>573</v>
      </c>
      <c r="C116" s="13" t="str">
        <f t="shared" si="1"/>
        <v>B34 (6p) ConR new O1a</v>
      </c>
      <c r="D116" s="10" t="s">
        <v>539</v>
      </c>
      <c r="F116" s="1" t="s">
        <v>57</v>
      </c>
      <c r="G116" s="1">
        <f>LEN(Table3[[#This Row],[Sequence]])</f>
        <v>22</v>
      </c>
    </row>
    <row r="117" spans="1:7" x14ac:dyDescent="0.55000000000000004">
      <c r="A117" s="2" t="s">
        <v>345</v>
      </c>
      <c r="B117" s="1" t="s">
        <v>574</v>
      </c>
      <c r="C117" s="13" t="str">
        <f t="shared" si="1"/>
        <v>B35 (6p) ConR new O1b</v>
      </c>
      <c r="D117" s="10" t="s">
        <v>540</v>
      </c>
      <c r="F117" s="1" t="s">
        <v>57</v>
      </c>
      <c r="G117" s="1">
        <f>LEN(Table3[[#This Row],[Sequence]])</f>
        <v>23</v>
      </c>
    </row>
    <row r="118" spans="1:7" x14ac:dyDescent="0.55000000000000004">
      <c r="A118" s="2" t="s">
        <v>346</v>
      </c>
      <c r="B118" s="1" t="s">
        <v>575</v>
      </c>
      <c r="C118" s="13" t="str">
        <f t="shared" si="1"/>
        <v>B36 (6p) ConR new O2</v>
      </c>
      <c r="D118" s="10" t="s">
        <v>541</v>
      </c>
      <c r="F118" s="1" t="s">
        <v>57</v>
      </c>
      <c r="G118" s="1">
        <f>LEN(Table3[[#This Row],[Sequence]])</f>
        <v>38</v>
      </c>
    </row>
    <row r="119" spans="1:7" x14ac:dyDescent="0.55000000000000004">
      <c r="A119" s="2" t="s">
        <v>347</v>
      </c>
      <c r="B119" s="1" t="s">
        <v>576</v>
      </c>
      <c r="C119" s="13" t="str">
        <f t="shared" si="1"/>
        <v>B37 (6p) ConR new O5a</v>
      </c>
      <c r="D119" s="10" t="s">
        <v>542</v>
      </c>
      <c r="F119" s="1" t="s">
        <v>57</v>
      </c>
      <c r="G119" s="1">
        <f>LEN(Table3[[#This Row],[Sequence]])</f>
        <v>32</v>
      </c>
    </row>
    <row r="120" spans="1:7" x14ac:dyDescent="0.55000000000000004">
      <c r="A120" s="2" t="s">
        <v>348</v>
      </c>
      <c r="B120" s="1" t="s">
        <v>577</v>
      </c>
      <c r="C120" s="13" t="str">
        <f t="shared" si="1"/>
        <v>B38 (6p) ConR new O5b</v>
      </c>
      <c r="D120" s="10" t="s">
        <v>543</v>
      </c>
      <c r="F120" s="1" t="s">
        <v>57</v>
      </c>
      <c r="G120" s="1">
        <f>LEN(Table3[[#This Row],[Sequence]])</f>
        <v>21</v>
      </c>
    </row>
    <row r="121" spans="1:7" x14ac:dyDescent="0.55000000000000004">
      <c r="A121" s="2" t="s">
        <v>349</v>
      </c>
      <c r="B121" s="1" t="s">
        <v>571</v>
      </c>
      <c r="C121" s="13" t="str">
        <f t="shared" si="1"/>
        <v>B39 (4) vioA P1</v>
      </c>
      <c r="D121" s="10" t="s">
        <v>570</v>
      </c>
      <c r="F121" s="1" t="s">
        <v>57</v>
      </c>
      <c r="G121" s="1">
        <f>LEN(Table3[[#This Row],[Sequence]])</f>
        <v>39</v>
      </c>
    </row>
    <row r="122" spans="1:7" x14ac:dyDescent="0.55000000000000004">
      <c r="A122" s="2" t="s">
        <v>350</v>
      </c>
      <c r="B122" s="1" t="s">
        <v>572</v>
      </c>
      <c r="C122" s="13" t="str">
        <f t="shared" si="1"/>
        <v>B40 (4) vioA P2</v>
      </c>
      <c r="D122" s="10" t="s">
        <v>592</v>
      </c>
      <c r="F122" s="1" t="s">
        <v>57</v>
      </c>
      <c r="G122" s="1">
        <f>LEN(Table3[[#This Row],[Sequence]])</f>
        <v>39</v>
      </c>
    </row>
    <row r="123" spans="1:7" x14ac:dyDescent="0.55000000000000004">
      <c r="A123" s="2" t="s">
        <v>351</v>
      </c>
      <c r="B123" s="1" t="s">
        <v>579</v>
      </c>
      <c r="C123" s="13" t="str">
        <f t="shared" si="1"/>
        <v>B41 (4) vioB P1</v>
      </c>
      <c r="D123" s="10" t="s">
        <v>578</v>
      </c>
      <c r="F123" s="1" t="s">
        <v>57</v>
      </c>
      <c r="G123" s="1">
        <f>LEN(Table3[[#This Row],[Sequence]])</f>
        <v>35</v>
      </c>
    </row>
    <row r="124" spans="1:7" x14ac:dyDescent="0.55000000000000004">
      <c r="A124" s="2" t="s">
        <v>352</v>
      </c>
      <c r="B124" s="1" t="s">
        <v>580</v>
      </c>
      <c r="C124" s="13" t="str">
        <f t="shared" si="1"/>
        <v>B42 (4) vioB P2</v>
      </c>
      <c r="D124" s="10" t="s">
        <v>596</v>
      </c>
      <c r="F124" s="1" t="s">
        <v>57</v>
      </c>
      <c r="G124" s="1">
        <f>LEN(Table3[[#This Row],[Sequence]])</f>
        <v>41</v>
      </c>
    </row>
    <row r="125" spans="1:7" x14ac:dyDescent="0.55000000000000004">
      <c r="A125" s="2" t="s">
        <v>353</v>
      </c>
      <c r="B125" s="1" t="s">
        <v>581</v>
      </c>
      <c r="C125" s="13" t="str">
        <f t="shared" si="1"/>
        <v>B43 (4) vioE P1</v>
      </c>
      <c r="D125" s="10" t="s">
        <v>587</v>
      </c>
      <c r="F125" s="1" t="s">
        <v>57</v>
      </c>
      <c r="G125" s="1">
        <f>LEN(Table3[[#This Row],[Sequence]])</f>
        <v>34</v>
      </c>
    </row>
    <row r="126" spans="1:7" x14ac:dyDescent="0.55000000000000004">
      <c r="A126" s="2" t="s">
        <v>354</v>
      </c>
      <c r="B126" s="1" t="s">
        <v>582</v>
      </c>
      <c r="C126" s="13" t="str">
        <f t="shared" si="1"/>
        <v>B44 (4) vioE P2</v>
      </c>
      <c r="D126" s="10" t="s">
        <v>593</v>
      </c>
      <c r="F126" s="1" t="s">
        <v>57</v>
      </c>
      <c r="G126" s="1">
        <f>LEN(Table3[[#This Row],[Sequence]])</f>
        <v>41</v>
      </c>
    </row>
    <row r="127" spans="1:7" x14ac:dyDescent="0.55000000000000004">
      <c r="A127" s="2" t="s">
        <v>355</v>
      </c>
      <c r="B127" s="1" t="s">
        <v>583</v>
      </c>
      <c r="C127" s="13" t="str">
        <f t="shared" si="1"/>
        <v>B45 (4) vioD P1</v>
      </c>
      <c r="D127" s="10" t="s">
        <v>588</v>
      </c>
      <c r="F127" s="1" t="s">
        <v>57</v>
      </c>
      <c r="G127" s="1">
        <f>LEN(Table3[[#This Row],[Sequence]])</f>
        <v>37</v>
      </c>
    </row>
    <row r="128" spans="1:7" x14ac:dyDescent="0.55000000000000004">
      <c r="A128" s="2" t="s">
        <v>356</v>
      </c>
      <c r="B128" s="1" t="s">
        <v>584</v>
      </c>
      <c r="C128" s="13" t="str">
        <f t="shared" si="1"/>
        <v>B46 (4) vioD P2</v>
      </c>
      <c r="D128" s="10" t="s">
        <v>594</v>
      </c>
      <c r="F128" s="1" t="s">
        <v>57</v>
      </c>
      <c r="G128" s="1">
        <f>LEN(Table3[[#This Row],[Sequence]])</f>
        <v>40</v>
      </c>
    </row>
    <row r="129" spans="1:7" x14ac:dyDescent="0.55000000000000004">
      <c r="A129" s="2" t="s">
        <v>357</v>
      </c>
      <c r="B129" s="1" t="s">
        <v>585</v>
      </c>
      <c r="C129" s="13" t="str">
        <f t="shared" si="1"/>
        <v>B47 (4) vioC P1</v>
      </c>
      <c r="D129" s="10" t="s">
        <v>589</v>
      </c>
      <c r="F129" s="1" t="s">
        <v>57</v>
      </c>
      <c r="G129" s="1">
        <f>LEN(Table3[[#This Row],[Sequence]])</f>
        <v>35</v>
      </c>
    </row>
    <row r="130" spans="1:7" x14ac:dyDescent="0.55000000000000004">
      <c r="A130" s="2" t="s">
        <v>358</v>
      </c>
      <c r="B130" s="1" t="s">
        <v>586</v>
      </c>
      <c r="C130" s="13" t="str">
        <f t="shared" ref="C130:C193" si="2">CONCATENATE(A130," ",B130)</f>
        <v>B48 (4) vioC P2</v>
      </c>
      <c r="D130" s="10" t="s">
        <v>595</v>
      </c>
      <c r="F130" s="1" t="s">
        <v>57</v>
      </c>
      <c r="G130" s="1">
        <f>LEN(Table3[[#This Row],[Sequence]])</f>
        <v>41</v>
      </c>
    </row>
    <row r="131" spans="1:7" ht="15" customHeight="1" x14ac:dyDescent="0.55000000000000004">
      <c r="A131" s="2" t="s">
        <v>359</v>
      </c>
      <c r="B131" s="1" t="s">
        <v>1009</v>
      </c>
      <c r="C131" s="13" t="str">
        <f t="shared" si="2"/>
        <v>B49 (5-1p) ChlR ConX vector P1</v>
      </c>
      <c r="D131" s="10" t="s">
        <v>590</v>
      </c>
      <c r="F131" s="1" t="s">
        <v>57</v>
      </c>
      <c r="G131" s="1">
        <f>LEN(Table3[[#This Row],[Sequence]])</f>
        <v>47</v>
      </c>
    </row>
    <row r="132" spans="1:7" x14ac:dyDescent="0.55000000000000004">
      <c r="A132" s="2" t="s">
        <v>360</v>
      </c>
      <c r="B132" s="1" t="s">
        <v>1010</v>
      </c>
      <c r="C132" s="13" t="str">
        <f t="shared" si="2"/>
        <v>B50 (5-1p) pUC ConX vector P2</v>
      </c>
      <c r="D132" s="10" t="s">
        <v>591</v>
      </c>
      <c r="F132" s="1" t="s">
        <v>57</v>
      </c>
      <c r="G132" s="1">
        <f>LEN(Table3[[#This Row],[Sequence]])</f>
        <v>44</v>
      </c>
    </row>
    <row r="133" spans="1:7" x14ac:dyDescent="0.55000000000000004">
      <c r="A133" s="2" t="s">
        <v>361</v>
      </c>
      <c r="B133" s="1" t="s">
        <v>869</v>
      </c>
      <c r="C133" s="13" t="str">
        <f t="shared" si="2"/>
        <v>B51 (9) ColE1_pET P4</v>
      </c>
      <c r="D133" s="10" t="s">
        <v>597</v>
      </c>
      <c r="F133" s="1" t="s">
        <v>57</v>
      </c>
      <c r="G133" s="1">
        <f>LEN(Table3[[#This Row],[Sequence]])</f>
        <v>38</v>
      </c>
    </row>
    <row r="134" spans="1:7" x14ac:dyDescent="0.55000000000000004">
      <c r="A134" s="2" t="s">
        <v>362</v>
      </c>
      <c r="B134" s="1" t="s">
        <v>674</v>
      </c>
      <c r="C134" s="13" t="str">
        <f t="shared" si="2"/>
        <v>B52 (78.x) spacer</v>
      </c>
      <c r="D134" s="10" t="s">
        <v>676</v>
      </c>
      <c r="F134" s="1" t="s">
        <v>57</v>
      </c>
      <c r="G134" s="1">
        <f>LEN(Table3[[#This Row],[Sequence]])</f>
        <v>34</v>
      </c>
    </row>
    <row r="135" spans="1:7" x14ac:dyDescent="0.55000000000000004">
      <c r="A135" s="2" t="s">
        <v>363</v>
      </c>
      <c r="B135" s="1" t="s">
        <v>675</v>
      </c>
      <c r="C135" s="13" t="str">
        <f t="shared" si="2"/>
        <v>B53 (89.x) spacer</v>
      </c>
      <c r="D135" s="10" t="s">
        <v>677</v>
      </c>
      <c r="F135" s="1" t="s">
        <v>57</v>
      </c>
      <c r="G135" s="1">
        <f>LEN(Table3[[#This Row],[Sequence]])</f>
        <v>34</v>
      </c>
    </row>
    <row r="136" spans="1:7" x14ac:dyDescent="0.55000000000000004">
      <c r="A136" s="2" t="s">
        <v>364</v>
      </c>
      <c r="B136" s="1" t="s">
        <v>667</v>
      </c>
      <c r="C136" s="13" t="str">
        <f t="shared" si="2"/>
        <v>B54 (8) lacI P1</v>
      </c>
      <c r="D136" s="10" t="s">
        <v>666</v>
      </c>
      <c r="F136" s="1" t="s">
        <v>57</v>
      </c>
      <c r="G136" s="1">
        <f>LEN(Table3[[#This Row],[Sequence]])</f>
        <v>37</v>
      </c>
    </row>
    <row r="137" spans="1:7" x14ac:dyDescent="0.55000000000000004">
      <c r="A137" s="2" t="s">
        <v>365</v>
      </c>
      <c r="B137" s="1" t="s">
        <v>668</v>
      </c>
      <c r="C137" s="13" t="str">
        <f t="shared" si="2"/>
        <v>B55 (8) lacI P2</v>
      </c>
      <c r="D137" s="10" t="s">
        <v>671</v>
      </c>
      <c r="F137" s="1" t="s">
        <v>57</v>
      </c>
      <c r="G137" s="1">
        <f>LEN(Table3[[#This Row],[Sequence]])</f>
        <v>36</v>
      </c>
    </row>
    <row r="138" spans="1:7" x14ac:dyDescent="0.55000000000000004">
      <c r="A138" s="2" t="s">
        <v>366</v>
      </c>
      <c r="B138" s="1" t="s">
        <v>669</v>
      </c>
      <c r="C138" s="13" t="str">
        <f t="shared" si="2"/>
        <v>B56 (8) lacI P3</v>
      </c>
      <c r="D138" s="10" t="s">
        <v>672</v>
      </c>
      <c r="F138" s="1" t="s">
        <v>57</v>
      </c>
      <c r="G138" s="1">
        <f>LEN(Table3[[#This Row],[Sequence]])</f>
        <v>30</v>
      </c>
    </row>
    <row r="139" spans="1:7" x14ac:dyDescent="0.55000000000000004">
      <c r="A139" s="2" t="s">
        <v>367</v>
      </c>
      <c r="B139" s="1" t="s">
        <v>670</v>
      </c>
      <c r="C139" s="13" t="str">
        <f t="shared" si="2"/>
        <v>B57 (8) lacI P4</v>
      </c>
      <c r="D139" s="10" t="s">
        <v>673</v>
      </c>
      <c r="F139" s="1" t="s">
        <v>57</v>
      </c>
      <c r="G139" s="1">
        <f>LEN(Table3[[#This Row],[Sequence]])</f>
        <v>37</v>
      </c>
    </row>
    <row r="140" spans="1:7" x14ac:dyDescent="0.55000000000000004">
      <c r="A140" s="2" t="s">
        <v>368</v>
      </c>
      <c r="B140" s="1" t="s">
        <v>681</v>
      </c>
      <c r="C140" s="13" t="str">
        <f t="shared" si="2"/>
        <v>B58 (4ab) sfgfp P1</v>
      </c>
      <c r="D140" s="10" t="s">
        <v>680</v>
      </c>
      <c r="F140" s="1" t="s">
        <v>57</v>
      </c>
      <c r="G140" s="1">
        <f>LEN(Table3[[#This Row],[Sequence]])</f>
        <v>34</v>
      </c>
    </row>
    <row r="141" spans="1:7" x14ac:dyDescent="0.55000000000000004">
      <c r="A141" s="2" t="s">
        <v>369</v>
      </c>
      <c r="B141" s="1" t="s">
        <v>682</v>
      </c>
      <c r="C141" s="13" t="str">
        <f t="shared" si="2"/>
        <v>B59 (4ab) sfgfp P2</v>
      </c>
      <c r="D141" s="10" t="s">
        <v>687</v>
      </c>
      <c r="F141" s="1" t="s">
        <v>57</v>
      </c>
      <c r="G141" s="1">
        <f>LEN(Table3[[#This Row],[Sequence]])</f>
        <v>42</v>
      </c>
    </row>
    <row r="142" spans="1:7" x14ac:dyDescent="0.55000000000000004">
      <c r="A142" s="2" t="s">
        <v>370</v>
      </c>
      <c r="B142" s="1" t="s">
        <v>691</v>
      </c>
      <c r="C142" s="13" t="str">
        <f t="shared" si="2"/>
        <v>B60 (5) L3S2P55_Str3 O1</v>
      </c>
      <c r="D142" s="10" t="s">
        <v>704</v>
      </c>
      <c r="F142" s="1" t="s">
        <v>57</v>
      </c>
      <c r="G142" s="1">
        <f>LEN(Table3[[#This Row],[Sequence]])</f>
        <v>45</v>
      </c>
    </row>
    <row r="143" spans="1:7" x14ac:dyDescent="0.55000000000000004">
      <c r="A143" s="2" t="s">
        <v>371</v>
      </c>
      <c r="B143" s="1" t="s">
        <v>692</v>
      </c>
      <c r="C143" s="13" t="str">
        <f t="shared" si="2"/>
        <v>B61 (5) L3S2P55_Str3 O2</v>
      </c>
      <c r="D143" s="10" t="s">
        <v>688</v>
      </c>
      <c r="F143" s="1" t="s">
        <v>57</v>
      </c>
      <c r="G143" s="1">
        <f>LEN(Table3[[#This Row],[Sequence]])</f>
        <v>24</v>
      </c>
    </row>
    <row r="144" spans="1:7" x14ac:dyDescent="0.55000000000000004">
      <c r="A144" s="2" t="s">
        <v>372</v>
      </c>
      <c r="B144" s="1" t="s">
        <v>693</v>
      </c>
      <c r="C144" s="13" t="str">
        <f t="shared" si="2"/>
        <v>B62 (5) L3S2P55_Str3 O3</v>
      </c>
      <c r="D144" s="10" t="s">
        <v>689</v>
      </c>
      <c r="F144" s="1" t="s">
        <v>57</v>
      </c>
      <c r="G144" s="1">
        <f>LEN(Table3[[#This Row],[Sequence]])</f>
        <v>41</v>
      </c>
    </row>
    <row r="145" spans="1:13" x14ac:dyDescent="0.55000000000000004">
      <c r="A145" s="2" t="s">
        <v>373</v>
      </c>
      <c r="B145" s="1" t="s">
        <v>694</v>
      </c>
      <c r="C145" s="13" t="str">
        <f t="shared" si="2"/>
        <v>B63 (5) L3S2P55_Str3 O4</v>
      </c>
      <c r="D145" s="10" t="s">
        <v>690</v>
      </c>
      <c r="F145" s="1" t="s">
        <v>57</v>
      </c>
      <c r="G145" s="1">
        <f>LEN(Table3[[#This Row],[Sequence]])</f>
        <v>28</v>
      </c>
    </row>
    <row r="146" spans="1:13" x14ac:dyDescent="0.55000000000000004">
      <c r="A146" s="2" t="s">
        <v>374</v>
      </c>
      <c r="B146" s="1" t="s">
        <v>696</v>
      </c>
      <c r="C146" s="13" t="str">
        <f t="shared" si="2"/>
        <v>B64 (5) L3S3P21_Str4 O1</v>
      </c>
      <c r="D146" s="10" t="s">
        <v>700</v>
      </c>
      <c r="F146" s="1" t="s">
        <v>57</v>
      </c>
      <c r="G146" s="1">
        <f>LEN(Table3[[#This Row],[Sequence]])</f>
        <v>24</v>
      </c>
    </row>
    <row r="147" spans="1:13" x14ac:dyDescent="0.55000000000000004">
      <c r="A147" s="2" t="s">
        <v>375</v>
      </c>
      <c r="B147" s="1" t="s">
        <v>697</v>
      </c>
      <c r="C147" s="13" t="str">
        <f t="shared" si="2"/>
        <v>B65 (5) L3S3P21_Str4 O2</v>
      </c>
      <c r="D147" s="10" t="s">
        <v>701</v>
      </c>
      <c r="F147" s="1" t="s">
        <v>57</v>
      </c>
      <c r="G147" s="1">
        <f>LEN(Table3[[#This Row],[Sequence]])</f>
        <v>41</v>
      </c>
    </row>
    <row r="148" spans="1:13" x14ac:dyDescent="0.55000000000000004">
      <c r="A148" s="2" t="s">
        <v>376</v>
      </c>
      <c r="B148" s="1" t="s">
        <v>698</v>
      </c>
      <c r="C148" s="13" t="str">
        <f t="shared" si="2"/>
        <v>B66 (5) L3S3P21_Str4 O3</v>
      </c>
      <c r="D148" s="10" t="s">
        <v>702</v>
      </c>
      <c r="F148" s="1" t="s">
        <v>57</v>
      </c>
      <c r="G148" s="1">
        <f>LEN(Table3[[#This Row],[Sequence]])</f>
        <v>24</v>
      </c>
    </row>
    <row r="149" spans="1:13" x14ac:dyDescent="0.55000000000000004">
      <c r="A149" s="2" t="s">
        <v>377</v>
      </c>
      <c r="B149" s="1" t="s">
        <v>699</v>
      </c>
      <c r="C149" s="13" t="str">
        <f t="shared" si="2"/>
        <v>B67 (5) L3S3P21_Str4 O4</v>
      </c>
      <c r="D149" s="10" t="s">
        <v>703</v>
      </c>
      <c r="F149" s="1" t="s">
        <v>57</v>
      </c>
      <c r="G149" s="1">
        <f>LEN(Table3[[#This Row],[Sequence]])</f>
        <v>41</v>
      </c>
    </row>
    <row r="150" spans="1:13" x14ac:dyDescent="0.55000000000000004">
      <c r="A150" s="2" t="s">
        <v>378</v>
      </c>
      <c r="B150" s="1" t="s">
        <v>709</v>
      </c>
      <c r="C150" s="13" t="str">
        <f t="shared" si="2"/>
        <v>B68 (5) L3S3P00_Str6 O1</v>
      </c>
      <c r="D150" s="10" t="s">
        <v>707</v>
      </c>
      <c r="F150" s="1" t="s">
        <v>57</v>
      </c>
      <c r="G150" s="1">
        <f>LEN(Table3[[#This Row],[Sequence]])</f>
        <v>38</v>
      </c>
    </row>
    <row r="151" spans="1:13" x14ac:dyDescent="0.55000000000000004">
      <c r="A151" s="2" t="s">
        <v>379</v>
      </c>
      <c r="B151" s="1" t="s">
        <v>710</v>
      </c>
      <c r="C151" s="13" t="str">
        <f t="shared" si="2"/>
        <v>B69 (5) L3S3P00_Str6 O2</v>
      </c>
      <c r="D151" s="10" t="s">
        <v>708</v>
      </c>
      <c r="F151" s="1" t="s">
        <v>57</v>
      </c>
      <c r="G151" s="1">
        <f>LEN(Table3[[#This Row],[Sequence]])</f>
        <v>33</v>
      </c>
    </row>
    <row r="152" spans="1:13" x14ac:dyDescent="0.55000000000000004">
      <c r="A152" s="2" t="s">
        <v>380</v>
      </c>
      <c r="B152" s="1" t="s">
        <v>711</v>
      </c>
      <c r="C152" s="13" t="str">
        <f t="shared" si="2"/>
        <v>B70 (5) L3S3P00_Str6 O3</v>
      </c>
      <c r="D152" s="10" t="s">
        <v>705</v>
      </c>
      <c r="F152" s="1" t="s">
        <v>57</v>
      </c>
      <c r="G152" s="1">
        <f>LEN(Table3[[#This Row],[Sequence]])</f>
        <v>33</v>
      </c>
      <c r="M152" s="2"/>
    </row>
    <row r="153" spans="1:13" x14ac:dyDescent="0.55000000000000004">
      <c r="A153" s="2" t="s">
        <v>381</v>
      </c>
      <c r="B153" s="1" t="s">
        <v>712</v>
      </c>
      <c r="C153" s="13" t="str">
        <f t="shared" si="2"/>
        <v>B71 (5) L3S3P00_Str6 O4</v>
      </c>
      <c r="D153" s="10" t="s">
        <v>706</v>
      </c>
      <c r="F153" s="1" t="s">
        <v>57</v>
      </c>
      <c r="G153" s="1">
        <f>LEN(Table3[[#This Row],[Sequence]])</f>
        <v>38</v>
      </c>
      <c r="M153" s="2"/>
    </row>
    <row r="154" spans="1:13" x14ac:dyDescent="0.55000000000000004">
      <c r="A154" s="2" t="s">
        <v>382</v>
      </c>
      <c r="B154" s="1" t="s">
        <v>713</v>
      </c>
      <c r="C154" s="13" t="str">
        <f t="shared" si="2"/>
        <v>B72 (9) pSC101 P1</v>
      </c>
      <c r="D154" s="10" t="s">
        <v>743</v>
      </c>
      <c r="F154" s="1" t="s">
        <v>57</v>
      </c>
      <c r="G154" s="1">
        <f>LEN(Table3[[#This Row],[Sequence]])</f>
        <v>40</v>
      </c>
      <c r="M154" s="2"/>
    </row>
    <row r="155" spans="1:13" x14ac:dyDescent="0.55000000000000004">
      <c r="A155" s="2" t="s">
        <v>383</v>
      </c>
      <c r="B155" s="1" t="s">
        <v>714</v>
      </c>
      <c r="C155" s="13" t="str">
        <f t="shared" si="2"/>
        <v>B73 (9) pSC101ts P2</v>
      </c>
      <c r="D155" s="10" t="s">
        <v>744</v>
      </c>
      <c r="F155" s="1" t="s">
        <v>57</v>
      </c>
      <c r="G155" s="1">
        <f>LEN(Table3[[#This Row],[Sequence]])</f>
        <v>39</v>
      </c>
      <c r="M155" s="2"/>
    </row>
    <row r="156" spans="1:13" x14ac:dyDescent="0.55000000000000004">
      <c r="A156" s="2" t="s">
        <v>384</v>
      </c>
      <c r="B156" s="1" t="s">
        <v>836</v>
      </c>
      <c r="C156" s="13" t="str">
        <f t="shared" si="2"/>
        <v>B74 (9) pSC101ts P3</v>
      </c>
      <c r="D156" s="10" t="s">
        <v>741</v>
      </c>
      <c r="F156" s="1" t="s">
        <v>57</v>
      </c>
      <c r="G156" s="1">
        <f>LEN(Table3[[#This Row],[Sequence]])</f>
        <v>34</v>
      </c>
      <c r="M156" s="2"/>
    </row>
    <row r="157" spans="1:13" x14ac:dyDescent="0.55000000000000004">
      <c r="A157" s="2" t="s">
        <v>385</v>
      </c>
      <c r="B157" s="1" t="s">
        <v>715</v>
      </c>
      <c r="C157" s="13" t="str">
        <f t="shared" si="2"/>
        <v>B75 (9) pSC101 P4</v>
      </c>
      <c r="D157" s="10" t="s">
        <v>742</v>
      </c>
      <c r="F157" s="1" t="s">
        <v>57</v>
      </c>
      <c r="G157" s="1">
        <f>LEN(Table3[[#This Row],[Sequence]])</f>
        <v>41</v>
      </c>
      <c r="M157" s="2"/>
    </row>
    <row r="158" spans="1:13" x14ac:dyDescent="0.55000000000000004">
      <c r="A158" s="2" t="s">
        <v>386</v>
      </c>
      <c r="B158" s="1" t="s">
        <v>716</v>
      </c>
      <c r="C158" s="13" t="str">
        <f t="shared" si="2"/>
        <v>B76 (9) pSC101 P5</v>
      </c>
      <c r="D158" s="10" t="s">
        <v>740</v>
      </c>
      <c r="F158" s="1" t="s">
        <v>57</v>
      </c>
      <c r="G158" s="1">
        <f>LEN(Table3[[#This Row],[Sequence]])</f>
        <v>31</v>
      </c>
      <c r="M158" s="2"/>
    </row>
    <row r="159" spans="1:13" x14ac:dyDescent="0.55000000000000004">
      <c r="A159" s="2" t="s">
        <v>387</v>
      </c>
      <c r="B159" s="1" t="s">
        <v>717</v>
      </c>
      <c r="C159" s="13" t="str">
        <f t="shared" si="2"/>
        <v>B77 (9) pSC101 P6</v>
      </c>
      <c r="D159" s="10" t="s">
        <v>718</v>
      </c>
      <c r="F159" s="1" t="s">
        <v>57</v>
      </c>
      <c r="G159" s="1">
        <f>LEN(Table3[[#This Row],[Sequence]])</f>
        <v>38</v>
      </c>
      <c r="M159" s="2"/>
    </row>
    <row r="160" spans="1:13" x14ac:dyDescent="0.55000000000000004">
      <c r="A160" s="2" t="s">
        <v>388</v>
      </c>
      <c r="B160" s="1" t="s">
        <v>735</v>
      </c>
      <c r="C160" s="13" t="str">
        <f t="shared" si="2"/>
        <v>B78 (2-5) Ptet-Mf.lon cas P1</v>
      </c>
      <c r="D160" s="10" t="s">
        <v>747</v>
      </c>
      <c r="F160" s="1" t="s">
        <v>57</v>
      </c>
      <c r="G160" s="1">
        <f>LEN(Table3[[#This Row],[Sequence]])</f>
        <v>41</v>
      </c>
      <c r="M160" s="2"/>
    </row>
    <row r="161" spans="1:13" x14ac:dyDescent="0.55000000000000004">
      <c r="A161" s="2" t="s">
        <v>389</v>
      </c>
      <c r="B161" s="1" t="s">
        <v>736</v>
      </c>
      <c r="C161" s="13" t="str">
        <f t="shared" si="2"/>
        <v>B79 (2-5) Ptet-Mf.lon cas P2</v>
      </c>
      <c r="D161" s="10" t="s">
        <v>739</v>
      </c>
      <c r="F161" s="1" t="s">
        <v>57</v>
      </c>
      <c r="G161" s="1">
        <f>LEN(Table3[[#This Row],[Sequence]])</f>
        <v>32</v>
      </c>
      <c r="M161" s="2"/>
    </row>
    <row r="162" spans="1:13" x14ac:dyDescent="0.55000000000000004">
      <c r="A162" s="2" t="s">
        <v>390</v>
      </c>
      <c r="B162" s="1" t="s">
        <v>737</v>
      </c>
      <c r="C162" s="13" t="str">
        <f t="shared" si="2"/>
        <v>B80 (2-5) Ptet-Mf.lon cas P3</v>
      </c>
      <c r="D162" s="10" t="s">
        <v>745</v>
      </c>
      <c r="F162" s="1" t="s">
        <v>57</v>
      </c>
      <c r="G162" s="1">
        <f>LEN(Table3[[#This Row],[Sequence]])</f>
        <v>33</v>
      </c>
      <c r="M162" s="2"/>
    </row>
    <row r="163" spans="1:13" x14ac:dyDescent="0.55000000000000004">
      <c r="A163" s="2" t="s">
        <v>391</v>
      </c>
      <c r="B163" s="1" t="s">
        <v>738</v>
      </c>
      <c r="C163" s="13" t="str">
        <f t="shared" si="2"/>
        <v>B81 (2-5) Ptet-Mf.lon cas P4</v>
      </c>
      <c r="D163" s="10" t="s">
        <v>746</v>
      </c>
      <c r="F163" s="1" t="s">
        <v>57</v>
      </c>
      <c r="G163" s="1">
        <f>LEN(Table3[[#This Row],[Sequence]])</f>
        <v>40</v>
      </c>
      <c r="M163" s="2"/>
    </row>
    <row r="164" spans="1:13" x14ac:dyDescent="0.55000000000000004">
      <c r="A164" s="2" t="s">
        <v>719</v>
      </c>
      <c r="B164" s="1" t="s">
        <v>754</v>
      </c>
      <c r="C164" s="13" t="str">
        <f t="shared" si="2"/>
        <v>C01 (4c) pdt#3 O1</v>
      </c>
      <c r="D164" s="10" t="s">
        <v>748</v>
      </c>
      <c r="F164" s="1" t="s">
        <v>57</v>
      </c>
      <c r="G164" s="1">
        <f>LEN(Table3[[#This Row],[Sequence]])</f>
        <v>19</v>
      </c>
      <c r="M164" s="2"/>
    </row>
    <row r="165" spans="1:13" x14ac:dyDescent="0.55000000000000004">
      <c r="A165" s="2" t="s">
        <v>720</v>
      </c>
      <c r="B165" s="1" t="s">
        <v>755</v>
      </c>
      <c r="C165" s="13" t="str">
        <f t="shared" si="2"/>
        <v>C02 (4c) pdt#3 O2</v>
      </c>
      <c r="D165" s="10" t="s">
        <v>749</v>
      </c>
      <c r="F165" s="1" t="s">
        <v>57</v>
      </c>
      <c r="G165" s="1">
        <f>LEN(Table3[[#This Row],[Sequence]])</f>
        <v>39</v>
      </c>
      <c r="M165" s="2"/>
    </row>
    <row r="166" spans="1:13" x14ac:dyDescent="0.55000000000000004">
      <c r="A166" s="2" t="s">
        <v>721</v>
      </c>
      <c r="B166" s="1" t="s">
        <v>756</v>
      </c>
      <c r="C166" s="13" t="str">
        <f t="shared" si="2"/>
        <v>C03 (4c) pdt#3 O3</v>
      </c>
      <c r="D166" s="10" t="s">
        <v>750</v>
      </c>
      <c r="F166" s="1" t="s">
        <v>57</v>
      </c>
      <c r="G166" s="1">
        <f>LEN(Table3[[#This Row],[Sequence]])</f>
        <v>41</v>
      </c>
      <c r="M166" s="2"/>
    </row>
    <row r="167" spans="1:13" x14ac:dyDescent="0.55000000000000004">
      <c r="A167" s="2" t="s">
        <v>722</v>
      </c>
      <c r="B167" s="1" t="s">
        <v>757</v>
      </c>
      <c r="C167" s="13" t="str">
        <f t="shared" si="2"/>
        <v>C04 (4c) pdt#3 O4</v>
      </c>
      <c r="D167" s="10" t="s">
        <v>751</v>
      </c>
      <c r="F167" s="1" t="s">
        <v>57</v>
      </c>
      <c r="G167" s="1">
        <f>LEN(Table3[[#This Row],[Sequence]])</f>
        <v>20</v>
      </c>
      <c r="M167" s="2"/>
    </row>
    <row r="168" spans="1:13" x14ac:dyDescent="0.55000000000000004">
      <c r="A168" s="2" t="s">
        <v>723</v>
      </c>
      <c r="B168" s="1" t="s">
        <v>758</v>
      </c>
      <c r="C168" s="13" t="str">
        <f t="shared" si="2"/>
        <v>C05 (4c) pdt#3 O5</v>
      </c>
      <c r="D168" s="10" t="s">
        <v>752</v>
      </c>
      <c r="F168" s="1" t="s">
        <v>57</v>
      </c>
      <c r="G168" s="1">
        <f>LEN(Table3[[#This Row],[Sequence]])</f>
        <v>44</v>
      </c>
      <c r="M168" s="2"/>
    </row>
    <row r="169" spans="1:13" x14ac:dyDescent="0.55000000000000004">
      <c r="A169" s="2" t="s">
        <v>724</v>
      </c>
      <c r="B169" s="1" t="s">
        <v>759</v>
      </c>
      <c r="C169" s="13" t="str">
        <f t="shared" si="2"/>
        <v>C06 (4c) pdt#3 O6</v>
      </c>
      <c r="D169" s="10" t="s">
        <v>753</v>
      </c>
      <c r="F169" s="1" t="s">
        <v>57</v>
      </c>
      <c r="G169" s="1">
        <f>LEN(Table3[[#This Row],[Sequence]])</f>
        <v>35</v>
      </c>
      <c r="M169" s="2"/>
    </row>
    <row r="170" spans="1:13" x14ac:dyDescent="0.55000000000000004">
      <c r="A170" s="2" t="s">
        <v>725</v>
      </c>
      <c r="B170" s="1" t="s">
        <v>765</v>
      </c>
      <c r="C170" s="13" t="str">
        <f t="shared" si="2"/>
        <v>C07 (9) CloDF13 P1</v>
      </c>
      <c r="D170" s="10" t="s">
        <v>767</v>
      </c>
      <c r="F170" s="1" t="s">
        <v>57</v>
      </c>
      <c r="G170" s="1">
        <f>LEN(Table3[[#This Row],[Sequence]])</f>
        <v>42</v>
      </c>
      <c r="M170" s="2"/>
    </row>
    <row r="171" spans="1:13" x14ac:dyDescent="0.55000000000000004">
      <c r="A171" s="2" t="s">
        <v>726</v>
      </c>
      <c r="B171" s="1" t="s">
        <v>766</v>
      </c>
      <c r="C171" s="13" t="str">
        <f t="shared" si="2"/>
        <v>C08 (9) CloDF13 P2</v>
      </c>
      <c r="D171" s="10" t="s">
        <v>768</v>
      </c>
      <c r="F171" s="1" t="s">
        <v>57</v>
      </c>
      <c r="G171" s="1">
        <f>LEN(Table3[[#This Row],[Sequence]])</f>
        <v>40</v>
      </c>
      <c r="M171" s="2"/>
    </row>
    <row r="172" spans="1:13" x14ac:dyDescent="0.55000000000000004">
      <c r="A172" s="2" t="s">
        <v>727</v>
      </c>
      <c r="B172" s="1" t="s">
        <v>761</v>
      </c>
      <c r="C172" s="13" t="str">
        <f t="shared" si="2"/>
        <v>C09 (9) RSF1030 P1</v>
      </c>
      <c r="D172" s="10" t="s">
        <v>764</v>
      </c>
      <c r="F172" s="1" t="s">
        <v>57</v>
      </c>
      <c r="G172" s="1">
        <f>LEN(Table3[[#This Row],[Sequence]])</f>
        <v>38</v>
      </c>
      <c r="M172" s="2"/>
    </row>
    <row r="173" spans="1:13" x14ac:dyDescent="0.55000000000000004">
      <c r="A173" s="2" t="s">
        <v>728</v>
      </c>
      <c r="B173" s="1" t="s">
        <v>762</v>
      </c>
      <c r="C173" s="13" t="str">
        <f t="shared" si="2"/>
        <v>C10 (9) RSF1030 P2</v>
      </c>
      <c r="D173" s="10" t="s">
        <v>763</v>
      </c>
      <c r="F173" s="1" t="s">
        <v>57</v>
      </c>
      <c r="G173" s="1">
        <f>LEN(Table3[[#This Row],[Sequence]])</f>
        <v>38</v>
      </c>
      <c r="M173" s="2"/>
    </row>
    <row r="174" spans="1:13" x14ac:dyDescent="0.55000000000000004">
      <c r="A174" s="2" t="s">
        <v>729</v>
      </c>
      <c r="B174" s="1" t="s">
        <v>769</v>
      </c>
      <c r="C174" s="13" t="str">
        <f t="shared" si="2"/>
        <v>C11 (4) mKate2 P2</v>
      </c>
      <c r="D174" s="10" t="s">
        <v>770</v>
      </c>
      <c r="F174" s="1" t="s">
        <v>57</v>
      </c>
      <c r="G174" s="1">
        <f>LEN(Table3[[#This Row],[Sequence]])</f>
        <v>42</v>
      </c>
      <c r="M174" s="2"/>
    </row>
    <row r="175" spans="1:13" x14ac:dyDescent="0.55000000000000004">
      <c r="A175" s="2" t="s">
        <v>730</v>
      </c>
      <c r="B175" s="1" t="s">
        <v>844</v>
      </c>
      <c r="C175" s="13" t="str">
        <f t="shared" si="2"/>
        <v>C12 (1) ConL P1</v>
      </c>
      <c r="D175" s="10" t="s">
        <v>970</v>
      </c>
      <c r="F175" s="1" t="s">
        <v>57</v>
      </c>
      <c r="G175" s="1">
        <f>LEN(Table3[[#This Row],[Sequence]])</f>
        <v>33</v>
      </c>
      <c r="H175" s="1" t="s">
        <v>966</v>
      </c>
      <c r="M175" s="2"/>
    </row>
    <row r="176" spans="1:13" x14ac:dyDescent="0.55000000000000004">
      <c r="A176" s="2" t="s">
        <v>731</v>
      </c>
      <c r="B176" s="1" t="s">
        <v>893</v>
      </c>
      <c r="C176" s="13" t="str">
        <f t="shared" si="2"/>
        <v>C13 (1) ConL P2</v>
      </c>
      <c r="D176" s="10" t="s">
        <v>971</v>
      </c>
      <c r="F176" s="1" t="s">
        <v>57</v>
      </c>
      <c r="G176" s="1">
        <f>LEN(Table3[[#This Row],[Sequence]])</f>
        <v>33</v>
      </c>
      <c r="M176" s="2"/>
    </row>
    <row r="177" spans="1:19" x14ac:dyDescent="0.55000000000000004">
      <c r="A177" s="2" t="s">
        <v>732</v>
      </c>
      <c r="B177" s="1" t="s">
        <v>967</v>
      </c>
      <c r="C177" s="13" t="str">
        <f t="shared" si="2"/>
        <v>C14 (1.1) ConL' P2</v>
      </c>
      <c r="D177" s="10" t="s">
        <v>972</v>
      </c>
      <c r="F177" s="1" t="s">
        <v>57</v>
      </c>
      <c r="G177" s="1">
        <f>LEN(Table3[[#This Row],[Sequence]])</f>
        <v>33</v>
      </c>
      <c r="H177" s="1" t="s">
        <v>965</v>
      </c>
      <c r="M177" s="2"/>
    </row>
    <row r="178" spans="1:19" x14ac:dyDescent="0.55000000000000004">
      <c r="A178" s="2" t="s">
        <v>733</v>
      </c>
      <c r="B178" s="1" t="s">
        <v>964</v>
      </c>
      <c r="C178" s="13" t="str">
        <f t="shared" si="2"/>
        <v>C15 (6) ConR P1</v>
      </c>
      <c r="D178" s="17" t="s">
        <v>969</v>
      </c>
      <c r="F178" s="1" t="s">
        <v>57</v>
      </c>
      <c r="G178" s="1">
        <f>LEN(Table3[[#This Row],[Sequence]])</f>
        <v>37</v>
      </c>
      <c r="M178" s="2"/>
    </row>
    <row r="179" spans="1:19" x14ac:dyDescent="0.55000000000000004">
      <c r="A179" s="2" t="s">
        <v>734</v>
      </c>
      <c r="B179" s="1" t="s">
        <v>868</v>
      </c>
      <c r="C179" s="13" t="str">
        <f t="shared" si="2"/>
        <v>C16 (6) ConR P2</v>
      </c>
      <c r="D179" s="10" t="s">
        <v>973</v>
      </c>
      <c r="F179" s="1" t="s">
        <v>57</v>
      </c>
      <c r="G179" s="1">
        <f>LEN(Table3[[#This Row],[Sequence]])</f>
        <v>40</v>
      </c>
      <c r="M179" s="2"/>
      <c r="S179" s="10"/>
    </row>
    <row r="180" spans="1:19" x14ac:dyDescent="0.55000000000000004">
      <c r="A180" s="2" t="s">
        <v>771</v>
      </c>
      <c r="B180" s="1" t="s">
        <v>968</v>
      </c>
      <c r="C180" s="13" t="str">
        <f t="shared" si="2"/>
        <v>C17 (6) ConR' P1</v>
      </c>
      <c r="D180" s="17" t="s">
        <v>974</v>
      </c>
      <c r="F180" s="1" t="s">
        <v>57</v>
      </c>
      <c r="G180" s="1">
        <f>LEN(Table3[[#This Row],[Sequence]])</f>
        <v>43</v>
      </c>
      <c r="M180" s="2"/>
    </row>
    <row r="181" spans="1:19" x14ac:dyDescent="0.55000000000000004">
      <c r="A181" s="2" t="s">
        <v>772</v>
      </c>
      <c r="B181" s="1" t="s">
        <v>982</v>
      </c>
      <c r="C181" s="13" t="str">
        <f t="shared" si="2"/>
        <v>C18 (1) ConL1 o1</v>
      </c>
      <c r="D181" s="1" t="s">
        <v>983</v>
      </c>
      <c r="F181" s="1" t="s">
        <v>57</v>
      </c>
      <c r="G181" s="1">
        <f>LEN(Table3[[#This Row],[Sequence]])</f>
        <v>29</v>
      </c>
      <c r="M181" s="2"/>
    </row>
    <row r="182" spans="1:19" x14ac:dyDescent="0.55000000000000004">
      <c r="A182" s="2" t="s">
        <v>773</v>
      </c>
      <c r="B182" s="1" t="s">
        <v>987</v>
      </c>
      <c r="C182" s="13" t="str">
        <f t="shared" si="2"/>
        <v>C19 (1) ConL1 o2</v>
      </c>
      <c r="D182" s="20" t="s">
        <v>1005</v>
      </c>
      <c r="F182" s="1" t="s">
        <v>57</v>
      </c>
      <c r="G182" s="1">
        <f>LEN(Table3[[#This Row],[Sequence]])</f>
        <v>29</v>
      </c>
      <c r="M182" s="2"/>
    </row>
    <row r="183" spans="1:19" x14ac:dyDescent="0.55000000000000004">
      <c r="A183" s="2" t="s">
        <v>774</v>
      </c>
      <c r="B183" s="1" t="s">
        <v>988</v>
      </c>
      <c r="C183" s="13" t="str">
        <f t="shared" si="2"/>
        <v>C20 (12) OpConL1 o1</v>
      </c>
      <c r="D183" s="1" t="s">
        <v>992</v>
      </c>
      <c r="F183" s="1" t="s">
        <v>57</v>
      </c>
      <c r="G183" s="1">
        <f>LEN(Table3[[#This Row],[Sequence]])</f>
        <v>15</v>
      </c>
      <c r="M183" s="2"/>
    </row>
    <row r="184" spans="1:19" x14ac:dyDescent="0.55000000000000004">
      <c r="A184" s="2" t="s">
        <v>775</v>
      </c>
      <c r="B184" s="1" t="s">
        <v>986</v>
      </c>
      <c r="C184" s="13" t="str">
        <f t="shared" si="2"/>
        <v>C21 (12) OpConL1 o2</v>
      </c>
      <c r="D184" s="1" t="s">
        <v>995</v>
      </c>
      <c r="F184" s="1" t="s">
        <v>57</v>
      </c>
      <c r="G184" s="1">
        <f>LEN(Table3[[#This Row],[Sequence]])</f>
        <v>15</v>
      </c>
      <c r="M184" s="2"/>
    </row>
    <row r="185" spans="1:19" x14ac:dyDescent="0.55000000000000004">
      <c r="A185" s="2" t="s">
        <v>776</v>
      </c>
      <c r="B185" s="1" t="s">
        <v>984</v>
      </c>
      <c r="C185" s="13" t="str">
        <f t="shared" si="2"/>
        <v>C22 (6) ConR1 o1</v>
      </c>
      <c r="D185" s="1" t="s">
        <v>985</v>
      </c>
      <c r="F185" s="1" t="s">
        <v>57</v>
      </c>
      <c r="G185" s="1">
        <f>LEN(Table3[[#This Row],[Sequence]])</f>
        <v>15</v>
      </c>
      <c r="M185" s="2"/>
    </row>
    <row r="186" spans="1:19" x14ac:dyDescent="0.55000000000000004">
      <c r="A186" s="2" t="s">
        <v>777</v>
      </c>
      <c r="B186" s="1" t="s">
        <v>990</v>
      </c>
      <c r="C186" s="13" t="str">
        <f t="shared" si="2"/>
        <v>C23 (6) ConR1 o2</v>
      </c>
      <c r="D186" s="1" t="s">
        <v>996</v>
      </c>
      <c r="F186" s="1" t="s">
        <v>57</v>
      </c>
      <c r="G186" s="1">
        <f>LEN(Table3[[#This Row],[Sequence]])</f>
        <v>15</v>
      </c>
      <c r="M186" s="2"/>
    </row>
    <row r="187" spans="1:19" x14ac:dyDescent="0.55000000000000004">
      <c r="A187" s="2" t="s">
        <v>778</v>
      </c>
      <c r="B187" s="1" t="s">
        <v>989</v>
      </c>
      <c r="C187" s="13" t="str">
        <f t="shared" si="2"/>
        <v>C24 (56) OpConR1 o1</v>
      </c>
      <c r="D187" s="1" t="s">
        <v>993</v>
      </c>
      <c r="F187" s="1" t="s">
        <v>57</v>
      </c>
      <c r="G187" s="1">
        <f>LEN(Table3[[#This Row],[Sequence]])</f>
        <v>15</v>
      </c>
      <c r="M187" s="2"/>
    </row>
    <row r="188" spans="1:19" x14ac:dyDescent="0.55000000000000004">
      <c r="A188" s="2" t="s">
        <v>779</v>
      </c>
      <c r="B188" s="1" t="s">
        <v>991</v>
      </c>
      <c r="C188" s="13" t="str">
        <f t="shared" si="2"/>
        <v>C25 (56) OpConR1 o2</v>
      </c>
      <c r="D188" s="1" t="s">
        <v>994</v>
      </c>
      <c r="F188" s="1" t="s">
        <v>57</v>
      </c>
      <c r="G188" s="1">
        <f>LEN(Table3[[#This Row],[Sequence]])</f>
        <v>15</v>
      </c>
      <c r="M188" s="2"/>
    </row>
    <row r="189" spans="1:19" x14ac:dyDescent="0.55000000000000004">
      <c r="A189" s="2" t="s">
        <v>780</v>
      </c>
      <c r="B189" s="1" t="s">
        <v>997</v>
      </c>
      <c r="C189" s="13" t="str">
        <f t="shared" si="2"/>
        <v>C26 (1-1) ConL1 o1</v>
      </c>
      <c r="D189" s="1" t="s">
        <v>999</v>
      </c>
      <c r="F189" s="1" t="s">
        <v>57</v>
      </c>
      <c r="G189" s="1">
        <f>LEN(Table3[[#This Row],[Sequence]])</f>
        <v>35</v>
      </c>
      <c r="M189" s="2"/>
    </row>
    <row r="190" spans="1:19" x14ac:dyDescent="0.55000000000000004">
      <c r="A190" s="2" t="s">
        <v>781</v>
      </c>
      <c r="B190" s="1" t="s">
        <v>1001</v>
      </c>
      <c r="C190" s="13" t="str">
        <f t="shared" si="2"/>
        <v>C27 (1-1) ConL1 o2</v>
      </c>
      <c r="D190" s="1" t="s">
        <v>1002</v>
      </c>
      <c r="F190" s="1" t="s">
        <v>57</v>
      </c>
      <c r="G190" s="1">
        <f>LEN(Table3[[#This Row],[Sequence]])</f>
        <v>35</v>
      </c>
      <c r="M190" s="2"/>
    </row>
    <row r="191" spans="1:19" x14ac:dyDescent="0.55000000000000004">
      <c r="A191" s="2" t="s">
        <v>782</v>
      </c>
      <c r="B191" s="1" t="s">
        <v>998</v>
      </c>
      <c r="C191" s="13" t="str">
        <f t="shared" si="2"/>
        <v>C28 (6-1) ConR1 o1</v>
      </c>
      <c r="D191" s="1" t="s">
        <v>1000</v>
      </c>
      <c r="F191" s="1" t="s">
        <v>57</v>
      </c>
      <c r="G191" s="1">
        <f>LEN(Table3[[#This Row],[Sequence]])</f>
        <v>21</v>
      </c>
      <c r="M191" s="2"/>
    </row>
    <row r="192" spans="1:19" x14ac:dyDescent="0.55000000000000004">
      <c r="A192" s="2" t="s">
        <v>783</v>
      </c>
      <c r="B192" s="1" t="s">
        <v>1004</v>
      </c>
      <c r="C192" s="13" t="str">
        <f t="shared" si="2"/>
        <v>C29 (6-1) ConR1 o2</v>
      </c>
      <c r="D192" s="1" t="s">
        <v>1003</v>
      </c>
      <c r="F192" s="1" t="s">
        <v>57</v>
      </c>
      <c r="G192" s="1">
        <f>LEN(Table3[[#This Row],[Sequence]])</f>
        <v>21</v>
      </c>
      <c r="M192" s="2"/>
    </row>
    <row r="193" spans="1:13" x14ac:dyDescent="0.55000000000000004">
      <c r="A193" s="2" t="s">
        <v>784</v>
      </c>
      <c r="C193" s="18" t="str">
        <f t="shared" si="2"/>
        <v xml:space="preserve">C30 </v>
      </c>
      <c r="D193" s="10"/>
      <c r="F193" s="1" t="s">
        <v>57</v>
      </c>
      <c r="G193" s="1">
        <f>LEN(Table3[[#This Row],[Sequence]])</f>
        <v>0</v>
      </c>
      <c r="M193" s="2"/>
    </row>
    <row r="194" spans="1:13" x14ac:dyDescent="0.55000000000000004">
      <c r="A194" s="2" t="s">
        <v>785</v>
      </c>
      <c r="B194" s="1" t="s">
        <v>1477</v>
      </c>
      <c r="C194" s="13" t="str">
        <f t="shared" ref="C194:C257" si="3">CONCATENATE(A194," ",B194)</f>
        <v>C31 AprR fix P2</v>
      </c>
      <c r="D194" s="10" t="s">
        <v>1479</v>
      </c>
      <c r="F194" s="1" t="s">
        <v>57</v>
      </c>
      <c r="G194" s="1">
        <f>LEN(Table3[[#This Row],[Sequence]])</f>
        <v>27</v>
      </c>
      <c r="H194" s="1">
        <v>61</v>
      </c>
      <c r="M194" s="2"/>
    </row>
    <row r="195" spans="1:13" x14ac:dyDescent="0.55000000000000004">
      <c r="A195" s="2" t="s">
        <v>786</v>
      </c>
      <c r="B195" s="1" t="s">
        <v>1478</v>
      </c>
      <c r="C195" s="13" t="str">
        <f t="shared" si="3"/>
        <v>C32 AprR fix P3</v>
      </c>
      <c r="D195" s="10" t="s">
        <v>1480</v>
      </c>
      <c r="F195" s="1" t="s">
        <v>57</v>
      </c>
      <c r="G195" s="1">
        <f>LEN(Table3[[#This Row],[Sequence]])</f>
        <v>27</v>
      </c>
      <c r="H195" s="1">
        <v>72</v>
      </c>
      <c r="M195" s="2"/>
    </row>
    <row r="196" spans="1:13" x14ac:dyDescent="0.55000000000000004">
      <c r="A196" s="2" t="s">
        <v>787</v>
      </c>
      <c r="B196" s="1" t="s">
        <v>1199</v>
      </c>
      <c r="C196" s="13" t="str">
        <f t="shared" si="3"/>
        <v>C33 (3) Anderson RBS library O1</v>
      </c>
      <c r="D196" s="10" t="s">
        <v>1196</v>
      </c>
      <c r="F196" s="1" t="s">
        <v>57</v>
      </c>
      <c r="G196" s="1">
        <f>LEN(Table3[[#This Row],[Sequence]])</f>
        <v>27</v>
      </c>
      <c r="M196" s="2"/>
    </row>
    <row r="197" spans="1:13" x14ac:dyDescent="0.55000000000000004">
      <c r="A197" s="2" t="s">
        <v>788</v>
      </c>
      <c r="B197" s="1" t="s">
        <v>1200</v>
      </c>
      <c r="C197" s="13" t="str">
        <f t="shared" si="3"/>
        <v>C34 (3b) Anderson RBS library O1</v>
      </c>
      <c r="D197" s="10" t="s">
        <v>1197</v>
      </c>
      <c r="F197" s="1" t="s">
        <v>57</v>
      </c>
      <c r="G197" s="1">
        <f>LEN(Table3[[#This Row],[Sequence]])</f>
        <v>27</v>
      </c>
      <c r="M197" s="2"/>
    </row>
    <row r="198" spans="1:13" x14ac:dyDescent="0.55000000000000004">
      <c r="A198" s="2" t="s">
        <v>789</v>
      </c>
      <c r="B198" s="1" t="s">
        <v>1201</v>
      </c>
      <c r="C198" s="13" t="str">
        <f t="shared" si="3"/>
        <v>C35 (3/3b) Anderson RBS library O2</v>
      </c>
      <c r="D198" s="10" t="s">
        <v>1198</v>
      </c>
      <c r="F198" s="1" t="s">
        <v>57</v>
      </c>
      <c r="G198" s="1">
        <f>LEN(Table3[[#This Row],[Sequence]])</f>
        <v>27</v>
      </c>
    </row>
    <row r="199" spans="1:13" x14ac:dyDescent="0.55000000000000004">
      <c r="A199" s="2" t="s">
        <v>790</v>
      </c>
      <c r="B199" s="1" t="s">
        <v>1390</v>
      </c>
      <c r="C199" s="13" t="str">
        <f t="shared" si="3"/>
        <v>C36 (9) pWV01 O1</v>
      </c>
      <c r="D199" s="10" t="s">
        <v>1078</v>
      </c>
      <c r="F199" s="1" t="s">
        <v>57</v>
      </c>
      <c r="G199" s="1">
        <f>LEN(Table3[[#This Row],[Sequence]])</f>
        <v>52</v>
      </c>
    </row>
    <row r="200" spans="1:13" x14ac:dyDescent="0.55000000000000004">
      <c r="A200" s="2" t="s">
        <v>791</v>
      </c>
      <c r="B200" s="1" t="s">
        <v>1391</v>
      </c>
      <c r="C200" s="13" t="str">
        <f t="shared" si="3"/>
        <v>C37 (9) pWV01 O2</v>
      </c>
      <c r="D200" s="10" t="s">
        <v>1075</v>
      </c>
      <c r="F200" s="1" t="s">
        <v>57</v>
      </c>
      <c r="G200" s="1">
        <f>LEN(Table3[[#This Row],[Sequence]])</f>
        <v>52</v>
      </c>
    </row>
    <row r="201" spans="1:13" x14ac:dyDescent="0.55000000000000004">
      <c r="A201" s="2" t="s">
        <v>792</v>
      </c>
      <c r="B201" s="1" t="s">
        <v>1392</v>
      </c>
      <c r="C201" s="13" t="str">
        <f t="shared" si="3"/>
        <v>C38 (9) pWV01 O3</v>
      </c>
      <c r="D201" s="10" t="s">
        <v>1076</v>
      </c>
      <c r="F201" s="1" t="s">
        <v>57</v>
      </c>
      <c r="G201" s="1">
        <f>LEN(Table3[[#This Row],[Sequence]])</f>
        <v>35</v>
      </c>
    </row>
    <row r="202" spans="1:13" x14ac:dyDescent="0.55000000000000004">
      <c r="A202" s="2" t="s">
        <v>793</v>
      </c>
      <c r="B202" s="1" t="s">
        <v>1393</v>
      </c>
      <c r="C202" s="13" t="str">
        <f t="shared" si="3"/>
        <v>C39 (9) pWV01 O4</v>
      </c>
      <c r="D202" s="10" t="s">
        <v>1077</v>
      </c>
      <c r="F202" s="1" t="s">
        <v>57</v>
      </c>
      <c r="G202" s="1">
        <f>LEN(Table3[[#This Row],[Sequence]])</f>
        <v>35</v>
      </c>
    </row>
    <row r="203" spans="1:13" x14ac:dyDescent="0.55000000000000004">
      <c r="A203" s="2" t="s">
        <v>794</v>
      </c>
      <c r="B203" s="1" t="s">
        <v>1394</v>
      </c>
      <c r="C203" s="13" t="str">
        <f t="shared" si="3"/>
        <v>C40 (9) pWV01 P1</v>
      </c>
      <c r="D203" s="10" t="s">
        <v>1063</v>
      </c>
      <c r="F203" s="1" t="s">
        <v>57</v>
      </c>
      <c r="G203" s="1">
        <f>LEN(Table3[[#This Row],[Sequence]])</f>
        <v>32</v>
      </c>
    </row>
    <row r="204" spans="1:13" x14ac:dyDescent="0.55000000000000004">
      <c r="A204" s="2" t="s">
        <v>795</v>
      </c>
      <c r="B204" s="1" t="s">
        <v>1395</v>
      </c>
      <c r="C204" s="13" t="str">
        <f t="shared" si="3"/>
        <v>C41 (9) pWV01 P2</v>
      </c>
      <c r="D204" s="10" t="s">
        <v>1064</v>
      </c>
      <c r="F204" s="1" t="s">
        <v>57</v>
      </c>
      <c r="G204" s="1">
        <f>LEN(Table3[[#This Row],[Sequence]])</f>
        <v>41</v>
      </c>
    </row>
    <row r="205" spans="1:13" x14ac:dyDescent="0.55000000000000004">
      <c r="A205" s="2" t="s">
        <v>796</v>
      </c>
      <c r="B205" s="1" t="s">
        <v>1059</v>
      </c>
      <c r="C205" s="13" t="str">
        <f t="shared" si="3"/>
        <v>C42 (9) p15A.r P1</v>
      </c>
      <c r="D205" s="10" t="s">
        <v>1061</v>
      </c>
      <c r="F205" s="1" t="s">
        <v>57</v>
      </c>
      <c r="G205" s="1">
        <f>LEN(Table3[[#This Row],[Sequence]])</f>
        <v>37</v>
      </c>
    </row>
    <row r="206" spans="1:13" x14ac:dyDescent="0.55000000000000004">
      <c r="A206" s="2" t="s">
        <v>797</v>
      </c>
      <c r="B206" s="1" t="s">
        <v>1060</v>
      </c>
      <c r="C206" s="13" t="str">
        <f t="shared" si="3"/>
        <v>C43 (9) p15A.r P2</v>
      </c>
      <c r="D206" s="10" t="s">
        <v>1062</v>
      </c>
      <c r="F206" s="1" t="s">
        <v>57</v>
      </c>
      <c r="G206" s="1">
        <f>LEN(Table3[[#This Row],[Sequence]])</f>
        <v>43</v>
      </c>
    </row>
    <row r="207" spans="1:13" x14ac:dyDescent="0.55000000000000004">
      <c r="A207" s="2" t="s">
        <v>798</v>
      </c>
      <c r="B207" s="1" t="s">
        <v>1072</v>
      </c>
      <c r="C207" s="13" t="str">
        <f t="shared" si="3"/>
        <v>C44 (1-6r) sfgfp-pUC P2</v>
      </c>
      <c r="D207" s="10" t="s">
        <v>1069</v>
      </c>
      <c r="E207" s="1" t="s">
        <v>1074</v>
      </c>
      <c r="F207" s="1" t="s">
        <v>57</v>
      </c>
      <c r="G207" s="1">
        <f>LEN(Table3[[#This Row],[Sequence]])</f>
        <v>35</v>
      </c>
    </row>
    <row r="208" spans="1:13" x14ac:dyDescent="0.55000000000000004">
      <c r="A208" s="2" t="s">
        <v>799</v>
      </c>
      <c r="B208" s="1" t="s">
        <v>1067</v>
      </c>
      <c r="C208" s="13" t="str">
        <f t="shared" si="3"/>
        <v>C45 (1-6r0) pUC P2</v>
      </c>
      <c r="D208" s="10" t="s">
        <v>1065</v>
      </c>
      <c r="E208" s="1" t="s">
        <v>1073</v>
      </c>
      <c r="F208" s="1" t="s">
        <v>57</v>
      </c>
      <c r="G208" s="1">
        <f>LEN(Table3[[#This Row],[Sequence]])</f>
        <v>54</v>
      </c>
    </row>
    <row r="209" spans="1:7" x14ac:dyDescent="0.55000000000000004">
      <c r="A209" s="2" t="s">
        <v>800</v>
      </c>
      <c r="B209" s="1" t="s">
        <v>1068</v>
      </c>
      <c r="C209" s="13" t="str">
        <f t="shared" si="3"/>
        <v>C46 (1-6r1) pUC P2</v>
      </c>
      <c r="D209" s="10" t="s">
        <v>1066</v>
      </c>
      <c r="E209" s="1" t="s">
        <v>1073</v>
      </c>
      <c r="F209" s="1" t="s">
        <v>57</v>
      </c>
      <c r="G209" s="1">
        <f>LEN(Table3[[#This Row],[Sequence]])</f>
        <v>54</v>
      </c>
    </row>
    <row r="210" spans="1:7" x14ac:dyDescent="0.55000000000000004">
      <c r="A210" s="2" t="s">
        <v>801</v>
      </c>
      <c r="B210" s="1" t="s">
        <v>1071</v>
      </c>
      <c r="C210" s="13" t="str">
        <f t="shared" si="3"/>
        <v>C47 (1-6r) mCherry-pUC P2</v>
      </c>
      <c r="D210" s="10" t="s">
        <v>1070</v>
      </c>
      <c r="F210" s="1" t="s">
        <v>57</v>
      </c>
      <c r="G210" s="1">
        <f>LEN(Table3[[#This Row],[Sequence]])</f>
        <v>36</v>
      </c>
    </row>
    <row r="211" spans="1:7" x14ac:dyDescent="0.55000000000000004">
      <c r="A211" s="2" t="s">
        <v>802</v>
      </c>
      <c r="B211" s="1" t="s">
        <v>1056</v>
      </c>
      <c r="C211" s="13" t="str">
        <f t="shared" si="3"/>
        <v>C48 (1-6r0) mCherry P2</v>
      </c>
      <c r="D211" s="15" t="s">
        <v>1052</v>
      </c>
      <c r="E211" s="1" t="s">
        <v>1058</v>
      </c>
      <c r="F211" s="1" t="s">
        <v>57</v>
      </c>
      <c r="G211" s="1">
        <f>LEN(Table3[[#This Row],[Sequence]])</f>
        <v>56</v>
      </c>
    </row>
    <row r="212" spans="1:7" x14ac:dyDescent="0.55000000000000004">
      <c r="A212" s="2" t="s">
        <v>803</v>
      </c>
      <c r="B212" s="1" t="s">
        <v>1057</v>
      </c>
      <c r="C212" s="13" t="str">
        <f t="shared" si="3"/>
        <v>C49 (1-6r1) mCherry P2</v>
      </c>
      <c r="D212" s="15" t="s">
        <v>1053</v>
      </c>
      <c r="E212" s="1" t="s">
        <v>1058</v>
      </c>
      <c r="F212" s="1" t="s">
        <v>57</v>
      </c>
      <c r="G212" s="1">
        <f>LEN(Table3[[#This Row],[Sequence]])</f>
        <v>56</v>
      </c>
    </row>
    <row r="213" spans="1:7" x14ac:dyDescent="0.55000000000000004">
      <c r="A213" s="2" t="s">
        <v>804</v>
      </c>
      <c r="B213" s="1" t="s">
        <v>1047</v>
      </c>
      <c r="C213" s="13" t="str">
        <f t="shared" si="3"/>
        <v>C50 (4) chrB</v>
      </c>
      <c r="D213" s="21" t="s">
        <v>1045</v>
      </c>
      <c r="F213" s="1" t="s">
        <v>57</v>
      </c>
      <c r="G213" s="1">
        <f>LEN(Table3[[#This Row],[Sequence]])</f>
        <v>39</v>
      </c>
    </row>
    <row r="214" spans="1:7" x14ac:dyDescent="0.55000000000000004">
      <c r="A214" s="2" t="s">
        <v>805</v>
      </c>
      <c r="B214" s="1" t="s">
        <v>1047</v>
      </c>
      <c r="C214" s="13" t="str">
        <f t="shared" si="3"/>
        <v>C51 (4) chrB</v>
      </c>
      <c r="D214" s="10" t="s">
        <v>1046</v>
      </c>
      <c r="F214" s="1" t="s">
        <v>57</v>
      </c>
      <c r="G214" s="1">
        <f>LEN(Table3[[#This Row],[Sequence]])</f>
        <v>46</v>
      </c>
    </row>
    <row r="215" spans="1:7" x14ac:dyDescent="0.55000000000000004">
      <c r="A215" s="2" t="s">
        <v>806</v>
      </c>
      <c r="B215" s="1" t="s">
        <v>1026</v>
      </c>
      <c r="C215" s="13" t="str">
        <f t="shared" si="3"/>
        <v>C52 (2) PL-lacO1 P2</v>
      </c>
      <c r="D215" s="10" t="s">
        <v>1025</v>
      </c>
      <c r="F215" s="1" t="s">
        <v>57</v>
      </c>
      <c r="G215" s="1">
        <f>LEN(Table3[[#This Row],[Sequence]])</f>
        <v>40</v>
      </c>
    </row>
    <row r="216" spans="1:7" x14ac:dyDescent="0.55000000000000004">
      <c r="A216" s="2" t="s">
        <v>807</v>
      </c>
      <c r="B216" s="1" t="s">
        <v>1038</v>
      </c>
      <c r="C216" s="13" t="str">
        <f t="shared" si="3"/>
        <v>C53 aphA1t seq F (insert R)</v>
      </c>
      <c r="D216" s="10" t="s">
        <v>1037</v>
      </c>
      <c r="F216" s="1" t="s">
        <v>57</v>
      </c>
      <c r="G216" s="1">
        <f>LEN(Table3[[#This Row],[Sequence]])</f>
        <v>25</v>
      </c>
    </row>
    <row r="217" spans="1:7" x14ac:dyDescent="0.55000000000000004">
      <c r="A217" s="2" t="s">
        <v>808</v>
      </c>
      <c r="B217" s="1" t="s">
        <v>1027</v>
      </c>
      <c r="C217" s="13" t="str">
        <f t="shared" si="3"/>
        <v>C54 p15A seq F (insert F)</v>
      </c>
      <c r="D217" s="10" t="s">
        <v>1030</v>
      </c>
      <c r="F217" s="1" t="s">
        <v>57</v>
      </c>
      <c r="G217" s="1">
        <f>LEN(Table3[[#This Row],[Sequence]])</f>
        <v>21</v>
      </c>
    </row>
    <row r="218" spans="1:7" x14ac:dyDescent="0.55000000000000004">
      <c r="A218" s="2" t="s">
        <v>809</v>
      </c>
      <c r="B218" s="1" t="s">
        <v>1029</v>
      </c>
      <c r="C218" s="13" t="str">
        <f t="shared" si="3"/>
        <v>C55 bla.t seq F (insert R)</v>
      </c>
      <c r="D218" s="10" t="s">
        <v>1031</v>
      </c>
      <c r="F218" s="1" t="s">
        <v>57</v>
      </c>
      <c r="G218" s="1">
        <f>LEN(Table3[[#This Row],[Sequence]])</f>
        <v>26</v>
      </c>
    </row>
    <row r="219" spans="1:7" x14ac:dyDescent="0.55000000000000004">
      <c r="A219" s="2" t="s">
        <v>810</v>
      </c>
      <c r="B219" s="1" t="s">
        <v>1022</v>
      </c>
      <c r="C219" s="13" t="str">
        <f t="shared" si="3"/>
        <v>C56 (2) gntKp P1</v>
      </c>
      <c r="D219" s="10" t="s">
        <v>1023</v>
      </c>
      <c r="F219" s="1" t="s">
        <v>57</v>
      </c>
      <c r="G219" s="1">
        <f>LEN(Table3[[#This Row],[Sequence]])</f>
        <v>39</v>
      </c>
    </row>
    <row r="220" spans="1:7" x14ac:dyDescent="0.55000000000000004">
      <c r="A220" s="2" t="s">
        <v>811</v>
      </c>
      <c r="B220" s="1" t="s">
        <v>1021</v>
      </c>
      <c r="C220" s="13" t="str">
        <f t="shared" si="3"/>
        <v>C57 (2) gntKp P2</v>
      </c>
      <c r="D220" s="10" t="s">
        <v>1024</v>
      </c>
      <c r="F220" s="1" t="s">
        <v>57</v>
      </c>
      <c r="G220" s="1">
        <f>LEN(Table3[[#This Row],[Sequence]])</f>
        <v>44</v>
      </c>
    </row>
    <row r="221" spans="1:7" x14ac:dyDescent="0.55000000000000004">
      <c r="A221" s="2" t="s">
        <v>812</v>
      </c>
      <c r="B221" s="1" t="s">
        <v>598</v>
      </c>
      <c r="C221" s="13" t="str">
        <f t="shared" si="3"/>
        <v>C58 (9) ColE1_pET P2</v>
      </c>
      <c r="D221" s="10" t="s">
        <v>871</v>
      </c>
      <c r="F221" s="1" t="s">
        <v>57</v>
      </c>
      <c r="G221" s="1">
        <f>LEN(Table3[[#This Row],[Sequence]])</f>
        <v>22</v>
      </c>
    </row>
    <row r="222" spans="1:7" x14ac:dyDescent="0.55000000000000004">
      <c r="A222" s="2" t="s">
        <v>813</v>
      </c>
      <c r="B222" s="1" t="s">
        <v>870</v>
      </c>
      <c r="C222" s="13" t="str">
        <f t="shared" si="3"/>
        <v>C59 (9) ColE1_pET P3</v>
      </c>
      <c r="D222" s="10" t="s">
        <v>872</v>
      </c>
      <c r="F222" s="1" t="s">
        <v>57</v>
      </c>
      <c r="G222" s="1">
        <f>LEN(Table3[[#This Row],[Sequence]])</f>
        <v>21</v>
      </c>
    </row>
    <row r="223" spans="1:7" x14ac:dyDescent="0.55000000000000004">
      <c r="A223" s="2" t="s">
        <v>814</v>
      </c>
      <c r="B223" s="1" t="s">
        <v>873</v>
      </c>
      <c r="C223" s="13" t="str">
        <f t="shared" si="3"/>
        <v>C60 pUC seq F (insert F)</v>
      </c>
      <c r="D223" s="10" t="s">
        <v>871</v>
      </c>
      <c r="F223" s="1" t="s">
        <v>57</v>
      </c>
      <c r="G223" s="1">
        <f>LEN(Table3[[#This Row],[Sequence]])</f>
        <v>22</v>
      </c>
    </row>
    <row r="224" spans="1:7" x14ac:dyDescent="0.55000000000000004">
      <c r="A224" s="2" t="s">
        <v>815</v>
      </c>
      <c r="B224" s="1" t="s">
        <v>1028</v>
      </c>
      <c r="C224" s="13" t="str">
        <f t="shared" si="3"/>
        <v>C61 cat.t seq F (insert R)</v>
      </c>
      <c r="D224" s="10" t="s">
        <v>872</v>
      </c>
      <c r="F224" s="1" t="s">
        <v>57</v>
      </c>
      <c r="G224" s="1">
        <f>LEN(Table3[[#This Row],[Sequence]])</f>
        <v>21</v>
      </c>
    </row>
    <row r="225" spans="1:8" x14ac:dyDescent="0.55000000000000004">
      <c r="A225" s="2" t="s">
        <v>816</v>
      </c>
      <c r="B225" s="1" t="s">
        <v>883</v>
      </c>
      <c r="C225" s="13" t="str">
        <f t="shared" si="3"/>
        <v>C62 vioB seq MF</v>
      </c>
      <c r="D225" s="10" t="s">
        <v>881</v>
      </c>
      <c r="F225" s="1" t="s">
        <v>57</v>
      </c>
      <c r="G225" s="1">
        <f>LEN(Table3[[#This Row],[Sequence]])</f>
        <v>20</v>
      </c>
    </row>
    <row r="226" spans="1:8" x14ac:dyDescent="0.55000000000000004">
      <c r="A226" s="2" t="s">
        <v>817</v>
      </c>
      <c r="B226" s="1" t="s">
        <v>884</v>
      </c>
      <c r="C226" s="13" t="str">
        <f t="shared" si="3"/>
        <v>C63 vioB seq MR</v>
      </c>
      <c r="D226" s="10" t="s">
        <v>882</v>
      </c>
      <c r="F226" s="1" t="s">
        <v>57</v>
      </c>
      <c r="G226" s="1">
        <f>LEN(Table3[[#This Row],[Sequence]])</f>
        <v>20</v>
      </c>
    </row>
    <row r="227" spans="1:8" x14ac:dyDescent="0.55000000000000004">
      <c r="A227" s="2" t="s">
        <v>818</v>
      </c>
      <c r="B227" s="1" t="s">
        <v>886</v>
      </c>
      <c r="C227" s="13" t="str">
        <f t="shared" si="3"/>
        <v>C64 Mf.lon seq MF</v>
      </c>
      <c r="D227" s="10" t="s">
        <v>885</v>
      </c>
      <c r="F227" s="1" t="s">
        <v>57</v>
      </c>
      <c r="G227" s="1">
        <f>LEN(Table3[[#This Row],[Sequence]])</f>
        <v>20</v>
      </c>
    </row>
    <row r="228" spans="1:8" x14ac:dyDescent="0.55000000000000004">
      <c r="A228" s="2" t="s">
        <v>819</v>
      </c>
      <c r="B228" s="1" t="s">
        <v>892</v>
      </c>
      <c r="C228" s="13" t="str">
        <f t="shared" si="3"/>
        <v>C65 Mf.lon seq MR</v>
      </c>
      <c r="D228" s="10" t="s">
        <v>891</v>
      </c>
      <c r="F228" s="1" t="s">
        <v>57</v>
      </c>
      <c r="G228" s="1">
        <f>LEN(Table3[[#This Row],[Sequence]])</f>
        <v>19</v>
      </c>
    </row>
    <row r="229" spans="1:8" x14ac:dyDescent="0.55000000000000004">
      <c r="A229" s="2" t="s">
        <v>820</v>
      </c>
      <c r="B229" s="1" t="s">
        <v>889</v>
      </c>
      <c r="C229" s="13" t="str">
        <f t="shared" si="3"/>
        <v>C66 (2) pCon51 o1</v>
      </c>
      <c r="D229" s="10" t="s">
        <v>887</v>
      </c>
      <c r="F229" s="1" t="s">
        <v>57</v>
      </c>
      <c r="G229" s="1">
        <f>LEN(Table3[[#This Row],[Sequence]])</f>
        <v>51</v>
      </c>
    </row>
    <row r="230" spans="1:8" x14ac:dyDescent="0.55000000000000004">
      <c r="A230" s="2" t="s">
        <v>821</v>
      </c>
      <c r="B230" s="1" t="s">
        <v>890</v>
      </c>
      <c r="C230" s="13" t="str">
        <f t="shared" si="3"/>
        <v>C67 (2) pCon51 o2</v>
      </c>
      <c r="D230" s="10" t="s">
        <v>888</v>
      </c>
      <c r="F230" s="1" t="s">
        <v>57</v>
      </c>
      <c r="G230" s="1">
        <f>LEN(Table3[[#This Row],[Sequence]])</f>
        <v>51</v>
      </c>
    </row>
    <row r="231" spans="1:8" x14ac:dyDescent="0.55000000000000004">
      <c r="A231" s="2" t="s">
        <v>822</v>
      </c>
      <c r="B231" s="1" t="s">
        <v>899</v>
      </c>
      <c r="C231" s="13" t="str">
        <f t="shared" si="3"/>
        <v>C68 (9) pSC101 mut P2</v>
      </c>
      <c r="D231" s="10" t="s">
        <v>897</v>
      </c>
      <c r="F231" s="1" t="s">
        <v>57</v>
      </c>
      <c r="G231" s="1">
        <f>LEN(Table3[[#This Row],[Sequence]])</f>
        <v>30</v>
      </c>
    </row>
    <row r="232" spans="1:8" x14ac:dyDescent="0.55000000000000004">
      <c r="A232" s="2" t="s">
        <v>823</v>
      </c>
      <c r="B232" s="1" t="s">
        <v>900</v>
      </c>
      <c r="C232" s="13" t="str">
        <f t="shared" si="3"/>
        <v>C69 (9) pSC101 mut P3</v>
      </c>
      <c r="D232" s="10" t="s">
        <v>898</v>
      </c>
      <c r="F232" s="1" t="s">
        <v>57</v>
      </c>
      <c r="G232" s="1">
        <f>LEN(Table3[[#This Row],[Sequence]])</f>
        <v>31</v>
      </c>
    </row>
    <row r="233" spans="1:8" x14ac:dyDescent="0.55000000000000004">
      <c r="A233" s="2" t="s">
        <v>824</v>
      </c>
      <c r="B233" s="1" t="s">
        <v>901</v>
      </c>
      <c r="C233" s="13" t="str">
        <f t="shared" si="3"/>
        <v>C70 (2-5) Mf.lon mut P2</v>
      </c>
      <c r="D233" s="17" t="s">
        <v>903</v>
      </c>
      <c r="F233" s="1" t="s">
        <v>57</v>
      </c>
      <c r="G233" s="1">
        <f>LEN(Table3[[#This Row],[Sequence]])</f>
        <v>35</v>
      </c>
    </row>
    <row r="234" spans="1:8" x14ac:dyDescent="0.55000000000000004">
      <c r="A234" s="2" t="s">
        <v>825</v>
      </c>
      <c r="B234" s="1" t="s">
        <v>902</v>
      </c>
      <c r="C234" s="13" t="str">
        <f t="shared" si="3"/>
        <v>C71 (2-5) Mf.lon mut P3</v>
      </c>
      <c r="D234" s="10" t="s">
        <v>904</v>
      </c>
      <c r="F234" s="1" t="s">
        <v>57</v>
      </c>
      <c r="G234" s="1">
        <f>LEN(Table3[[#This Row],[Sequence]])</f>
        <v>30</v>
      </c>
    </row>
    <row r="235" spans="1:8" x14ac:dyDescent="0.55000000000000004">
      <c r="A235" s="2" t="s">
        <v>826</v>
      </c>
      <c r="B235" s="1" t="s">
        <v>905</v>
      </c>
      <c r="C235" s="13" t="str">
        <f t="shared" si="3"/>
        <v>C72 (7) SpcR.r 2 P1</v>
      </c>
      <c r="D235" s="10" t="s">
        <v>907</v>
      </c>
      <c r="F235" s="1" t="s">
        <v>57</v>
      </c>
      <c r="G235" s="1">
        <f>LEN(Table3[[#This Row],[Sequence]])</f>
        <v>39</v>
      </c>
    </row>
    <row r="236" spans="1:8" x14ac:dyDescent="0.55000000000000004">
      <c r="A236" s="2" t="s">
        <v>827</v>
      </c>
      <c r="B236" s="1" t="s">
        <v>906</v>
      </c>
      <c r="C236" s="13" t="str">
        <f t="shared" si="3"/>
        <v>C73 (7) SpcR.r 2 P2</v>
      </c>
      <c r="D236" s="10" t="s">
        <v>908</v>
      </c>
      <c r="F236" s="1" t="s">
        <v>57</v>
      </c>
      <c r="G236" s="1">
        <f>LEN(Table3[[#This Row],[Sequence]])</f>
        <v>38</v>
      </c>
    </row>
    <row r="237" spans="1:8" x14ac:dyDescent="0.55000000000000004">
      <c r="A237" s="2" t="s">
        <v>828</v>
      </c>
      <c r="B237" s="1" t="s">
        <v>909</v>
      </c>
      <c r="C237" s="13" t="str">
        <f t="shared" si="3"/>
        <v>C74 (7) ChlR P2</v>
      </c>
      <c r="D237" s="10" t="s">
        <v>912</v>
      </c>
      <c r="F237" s="1" t="s">
        <v>57</v>
      </c>
      <c r="G237" s="1">
        <f>LEN(Table3[[#This Row],[Sequence]])</f>
        <v>35</v>
      </c>
    </row>
    <row r="238" spans="1:8" x14ac:dyDescent="0.55000000000000004">
      <c r="A238" s="2" t="s">
        <v>829</v>
      </c>
      <c r="B238" s="1" t="s">
        <v>910</v>
      </c>
      <c r="C238" s="13" t="str">
        <f t="shared" si="3"/>
        <v>C75 (7) ChlR P3</v>
      </c>
      <c r="D238" s="10" t="s">
        <v>911</v>
      </c>
      <c r="F238" s="1" t="s">
        <v>57</v>
      </c>
      <c r="G238" s="1">
        <f>LEN(Table3[[#This Row],[Sequence]])</f>
        <v>28</v>
      </c>
    </row>
    <row r="239" spans="1:8" x14ac:dyDescent="0.55000000000000004">
      <c r="A239" s="2" t="s">
        <v>830</v>
      </c>
      <c r="B239" s="1" t="s">
        <v>913</v>
      </c>
      <c r="C239" s="13" t="str">
        <f t="shared" si="3"/>
        <v>C76 (34) Mf.lon P1</v>
      </c>
      <c r="D239" s="10" t="s">
        <v>916</v>
      </c>
      <c r="F239" s="1" t="s">
        <v>57</v>
      </c>
      <c r="G239" s="1">
        <f>LEN(Table3[[#This Row],[Sequence]])</f>
        <v>41</v>
      </c>
      <c r="H239" s="1" t="s">
        <v>915</v>
      </c>
    </row>
    <row r="240" spans="1:8" x14ac:dyDescent="0.55000000000000004">
      <c r="A240" s="2" t="s">
        <v>831</v>
      </c>
      <c r="B240" s="1" t="s">
        <v>914</v>
      </c>
      <c r="C240" s="13" t="str">
        <f t="shared" si="3"/>
        <v>C77 (34) Mf.lon P2</v>
      </c>
      <c r="D240" s="10" t="s">
        <v>917</v>
      </c>
      <c r="F240" s="1" t="s">
        <v>57</v>
      </c>
      <c r="G240" s="1">
        <f>LEN(Table3[[#This Row],[Sequence]])</f>
        <v>47</v>
      </c>
      <c r="H240" s="1" t="s">
        <v>915</v>
      </c>
    </row>
    <row r="241" spans="1:7" x14ac:dyDescent="0.55000000000000004">
      <c r="A241" s="2" t="s">
        <v>832</v>
      </c>
      <c r="B241" s="1" t="s">
        <v>1008</v>
      </c>
      <c r="C241" s="13" t="str">
        <f t="shared" si="3"/>
        <v>C78 (2) PL-lacO1 P1</v>
      </c>
      <c r="D241" s="16" t="s">
        <v>1007</v>
      </c>
      <c r="F241" s="1" t="s">
        <v>57</v>
      </c>
      <c r="G241" s="1">
        <f>LEN(Table3[[#This Row],[Sequence]])</f>
        <v>44</v>
      </c>
    </row>
    <row r="242" spans="1:7" x14ac:dyDescent="0.55000000000000004">
      <c r="A242" s="2" t="s">
        <v>833</v>
      </c>
      <c r="B242" s="1" t="s">
        <v>1012</v>
      </c>
      <c r="C242" s="13" t="str">
        <f t="shared" si="3"/>
        <v>C79 (2) glpTp P1</v>
      </c>
      <c r="D242" s="16" t="s">
        <v>1013</v>
      </c>
      <c r="F242" s="1" t="s">
        <v>57</v>
      </c>
      <c r="G242" s="1">
        <f>LEN(Table3[[#This Row],[Sequence]])</f>
        <v>42</v>
      </c>
    </row>
    <row r="243" spans="1:7" x14ac:dyDescent="0.55000000000000004">
      <c r="A243" s="2" t="s">
        <v>834</v>
      </c>
      <c r="B243" s="1" t="s">
        <v>1011</v>
      </c>
      <c r="C243" s="13" t="str">
        <f t="shared" si="3"/>
        <v>C80 (2) glpTp P2</v>
      </c>
      <c r="D243" s="10" t="s">
        <v>1014</v>
      </c>
      <c r="F243" s="1" t="s">
        <v>57</v>
      </c>
      <c r="G243" s="1">
        <f>LEN(Table3[[#This Row],[Sequence]])</f>
        <v>36</v>
      </c>
    </row>
    <row r="244" spans="1:7" x14ac:dyDescent="0.55000000000000004">
      <c r="A244" s="2" t="s">
        <v>835</v>
      </c>
      <c r="B244" s="1" t="s">
        <v>1015</v>
      </c>
      <c r="C244" s="13" t="str">
        <f t="shared" si="3"/>
        <v>C81 (5) rrfBt1 P2</v>
      </c>
      <c r="D244" s="10" t="s">
        <v>1016</v>
      </c>
      <c r="F244" s="1" t="s">
        <v>57</v>
      </c>
      <c r="G244" s="1">
        <f>LEN(Table3[[#This Row],[Sequence]])</f>
        <v>39</v>
      </c>
    </row>
    <row r="245" spans="1:7" x14ac:dyDescent="0.55000000000000004">
      <c r="A245" s="2" t="s">
        <v>1092</v>
      </c>
      <c r="B245" s="1" t="s">
        <v>1161</v>
      </c>
      <c r="C245" s="13" t="str">
        <f t="shared" si="3"/>
        <v>D01 (3a) RiboJ00 P1</v>
      </c>
      <c r="D245" s="216" t="s">
        <v>1171</v>
      </c>
      <c r="F245" s="1" t="s">
        <v>57</v>
      </c>
      <c r="G245" s="1">
        <f>LEN(Table3[[#This Row],[Sequence]])</f>
        <v>36</v>
      </c>
    </row>
    <row r="246" spans="1:7" x14ac:dyDescent="0.55000000000000004">
      <c r="A246" s="2" t="s">
        <v>1097</v>
      </c>
      <c r="B246" s="1" t="s">
        <v>1164</v>
      </c>
      <c r="C246" s="13" t="str">
        <f t="shared" si="3"/>
        <v>D02 (3a) LtsvJ P1</v>
      </c>
      <c r="D246" s="10" t="s">
        <v>1174</v>
      </c>
      <c r="F246" s="1" t="s">
        <v>57</v>
      </c>
      <c r="G246" s="1">
        <f>LEN(Table3[[#This Row],[Sequence]])</f>
        <v>37</v>
      </c>
    </row>
    <row r="247" spans="1:7" x14ac:dyDescent="0.55000000000000004">
      <c r="A247" s="2" t="s">
        <v>1098</v>
      </c>
      <c r="B247" s="1" t="s">
        <v>1163</v>
      </c>
      <c r="C247" s="13" t="str">
        <f t="shared" si="3"/>
        <v>D03 (3a) SccJ P1</v>
      </c>
      <c r="D247" s="10" t="s">
        <v>1176</v>
      </c>
      <c r="F247" s="1" t="s">
        <v>57</v>
      </c>
      <c r="G247" s="1">
        <f>LEN(Table3[[#This Row],[Sequence]])</f>
        <v>37</v>
      </c>
    </row>
    <row r="248" spans="1:7" x14ac:dyDescent="0.55000000000000004">
      <c r="A248" s="2" t="s">
        <v>1099</v>
      </c>
      <c r="B248" s="1" t="s">
        <v>1162</v>
      </c>
      <c r="C248" s="13" t="str">
        <f t="shared" si="3"/>
        <v>D04 (3a) PlmJ P1</v>
      </c>
      <c r="D248" s="217" t="s">
        <v>1175</v>
      </c>
      <c r="F248" s="1" t="s">
        <v>57</v>
      </c>
      <c r="G248" s="1">
        <f>LEN(Table3[[#This Row],[Sequence]])</f>
        <v>39</v>
      </c>
    </row>
    <row r="249" spans="1:7" x14ac:dyDescent="0.55000000000000004">
      <c r="A249" s="2" t="s">
        <v>1100</v>
      </c>
      <c r="B249" s="1" t="s">
        <v>1173</v>
      </c>
      <c r="C249" s="13" t="str">
        <f t="shared" si="3"/>
        <v>D05 (3a) ribozyme P2</v>
      </c>
      <c r="D249" s="217" t="s">
        <v>1172</v>
      </c>
      <c r="F249" s="1" t="s">
        <v>57</v>
      </c>
      <c r="G249" s="1">
        <f>LEN(Table3[[#This Row],[Sequence]])</f>
        <v>42</v>
      </c>
    </row>
    <row r="250" spans="1:7" x14ac:dyDescent="0.55000000000000004">
      <c r="A250" s="2" t="s">
        <v>1101</v>
      </c>
      <c r="B250" s="1" t="s">
        <v>1165</v>
      </c>
      <c r="C250" s="13" t="str">
        <f t="shared" si="3"/>
        <v>D06 (3a) hairpin O1</v>
      </c>
      <c r="D250" s="10" t="s">
        <v>1179</v>
      </c>
      <c r="F250" s="1" t="s">
        <v>57</v>
      </c>
      <c r="G250" s="1">
        <f>LEN(Table3[[#This Row],[Sequence]])</f>
        <v>27</v>
      </c>
    </row>
    <row r="251" spans="1:7" x14ac:dyDescent="0.55000000000000004">
      <c r="A251" s="2" t="s">
        <v>1102</v>
      </c>
      <c r="B251" s="1" t="s">
        <v>1166</v>
      </c>
      <c r="C251" s="13" t="str">
        <f t="shared" si="3"/>
        <v>D07 (3a) hairpin O2</v>
      </c>
      <c r="D251" s="10" t="s">
        <v>1180</v>
      </c>
      <c r="F251" s="1" t="s">
        <v>57</v>
      </c>
      <c r="G251" s="1">
        <f>LEN(Table3[[#This Row],[Sequence]])</f>
        <v>27</v>
      </c>
    </row>
    <row r="252" spans="1:7" x14ac:dyDescent="0.55000000000000004">
      <c r="A252" s="2" t="s">
        <v>1103</v>
      </c>
      <c r="B252" s="1" t="s">
        <v>1167</v>
      </c>
      <c r="C252" s="13" t="str">
        <f t="shared" si="3"/>
        <v>D08 (3a) SarJ O1</v>
      </c>
      <c r="D252" s="10" t="s">
        <v>1177</v>
      </c>
      <c r="F252" s="1" t="s">
        <v>57</v>
      </c>
      <c r="G252" s="1">
        <f>LEN(Table3[[#This Row],[Sequence]])</f>
        <v>64</v>
      </c>
    </row>
    <row r="253" spans="1:7" x14ac:dyDescent="0.55000000000000004">
      <c r="A253" s="2" t="s">
        <v>1104</v>
      </c>
      <c r="B253" s="1" t="s">
        <v>1168</v>
      </c>
      <c r="C253" s="13" t="str">
        <f t="shared" si="3"/>
        <v>D09 (3a) SarJ O2</v>
      </c>
      <c r="D253" s="10" t="s">
        <v>1178</v>
      </c>
      <c r="F253" s="1" t="s">
        <v>57</v>
      </c>
      <c r="G253" s="1">
        <f>LEN(Table3[[#This Row],[Sequence]])</f>
        <v>64</v>
      </c>
    </row>
    <row r="254" spans="1:7" x14ac:dyDescent="0.55000000000000004">
      <c r="A254" s="2" t="s">
        <v>1105</v>
      </c>
      <c r="B254" s="1" t="s">
        <v>1169</v>
      </c>
      <c r="C254" s="13" t="str">
        <f t="shared" si="3"/>
        <v>D10 (3a) BydvJ O1</v>
      </c>
      <c r="D254" s="10" t="s">
        <v>1181</v>
      </c>
      <c r="F254" s="1" t="s">
        <v>57</v>
      </c>
      <c r="G254" s="1">
        <f>LEN(Table3[[#This Row],[Sequence]])</f>
        <v>61</v>
      </c>
    </row>
    <row r="255" spans="1:7" x14ac:dyDescent="0.55000000000000004">
      <c r="A255" s="2" t="s">
        <v>1106</v>
      </c>
      <c r="B255" s="1" t="s">
        <v>1170</v>
      </c>
      <c r="C255" s="13" t="str">
        <f t="shared" si="3"/>
        <v>D11 (3a) BydvJ O2</v>
      </c>
      <c r="D255" s="10" t="s">
        <v>1182</v>
      </c>
      <c r="F255" s="1" t="s">
        <v>57</v>
      </c>
      <c r="G255" s="1">
        <f>LEN(Table3[[#This Row],[Sequence]])</f>
        <v>61</v>
      </c>
    </row>
    <row r="256" spans="1:7" x14ac:dyDescent="0.55000000000000004">
      <c r="A256" s="2" t="s">
        <v>1107</v>
      </c>
      <c r="B256" s="1" t="s">
        <v>1185</v>
      </c>
      <c r="C256" s="13" t="str">
        <f t="shared" si="3"/>
        <v>D12 (3b) BBa_B0034 O1</v>
      </c>
      <c r="D256" s="10" t="s">
        <v>1184</v>
      </c>
      <c r="F256" s="1" t="s">
        <v>57</v>
      </c>
      <c r="G256" s="1">
        <f>LEN(Table3[[#This Row],[Sequence]])</f>
        <v>35</v>
      </c>
    </row>
    <row r="257" spans="1:9" x14ac:dyDescent="0.55000000000000004">
      <c r="A257" s="2" t="s">
        <v>1108</v>
      </c>
      <c r="B257" s="1" t="s">
        <v>1186</v>
      </c>
      <c r="C257" s="13" t="str">
        <f t="shared" si="3"/>
        <v>D13 (3b) BBa_B0034 O2</v>
      </c>
      <c r="D257" s="10" t="s">
        <v>1183</v>
      </c>
      <c r="F257" s="1" t="s">
        <v>57</v>
      </c>
      <c r="G257" s="1">
        <f>LEN(Table3[[#This Row],[Sequence]])</f>
        <v>35</v>
      </c>
    </row>
    <row r="258" spans="1:9" x14ac:dyDescent="0.55000000000000004">
      <c r="A258" s="2" t="s">
        <v>1109</v>
      </c>
      <c r="B258" s="1" t="s">
        <v>1189</v>
      </c>
      <c r="C258" s="13" t="str">
        <f t="shared" ref="C258:C309" si="4">CONCATENATE(A258," ",B258)</f>
        <v>D14 (2) PL-lacO×3 P1</v>
      </c>
      <c r="D258" s="10" t="s">
        <v>1187</v>
      </c>
      <c r="F258" s="1" t="s">
        <v>57</v>
      </c>
      <c r="G258" s="1">
        <f>LEN(Table3[[#This Row],[Sequence]])</f>
        <v>36</v>
      </c>
    </row>
    <row r="259" spans="1:9" x14ac:dyDescent="0.55000000000000004">
      <c r="A259" s="2" t="s">
        <v>1110</v>
      </c>
      <c r="B259" s="1" t="s">
        <v>1190</v>
      </c>
      <c r="C259" s="13" t="str">
        <f t="shared" si="4"/>
        <v>D15 (2) PL-lacO×3 P2</v>
      </c>
      <c r="D259" s="10" t="s">
        <v>1188</v>
      </c>
      <c r="F259" s="1" t="s">
        <v>57</v>
      </c>
      <c r="G259" s="1">
        <f>LEN(Table3[[#This Row],[Sequence]])</f>
        <v>45</v>
      </c>
    </row>
    <row r="260" spans="1:9" x14ac:dyDescent="0.55000000000000004">
      <c r="A260" s="2" t="s">
        <v>1111</v>
      </c>
      <c r="B260" s="1" t="s">
        <v>1191</v>
      </c>
      <c r="C260" s="13" t="str">
        <f t="shared" si="4"/>
        <v>D16 (4r) glpTp-sfgfp P1</v>
      </c>
      <c r="D260" s="10" t="s">
        <v>1193</v>
      </c>
      <c r="F260" s="1" t="s">
        <v>57</v>
      </c>
      <c r="G260" s="1">
        <f>LEN(Table3[[#This Row],[Sequence]])</f>
        <v>36</v>
      </c>
      <c r="H260" s="1">
        <v>63</v>
      </c>
    </row>
    <row r="261" spans="1:9" x14ac:dyDescent="0.55000000000000004">
      <c r="A261" s="2" t="s">
        <v>1112</v>
      </c>
      <c r="B261" s="1" t="s">
        <v>1192</v>
      </c>
      <c r="C261" s="13" t="str">
        <f t="shared" si="4"/>
        <v>D17 (4r) glpTp-sfgfp P2</v>
      </c>
      <c r="D261" s="10" t="s">
        <v>1194</v>
      </c>
      <c r="F261" s="1" t="s">
        <v>57</v>
      </c>
      <c r="G261" s="1">
        <f>LEN(Table3[[#This Row],[Sequence]])</f>
        <v>35</v>
      </c>
      <c r="H261" s="1">
        <v>63</v>
      </c>
    </row>
    <row r="262" spans="1:9" x14ac:dyDescent="0.55000000000000004">
      <c r="A262" s="2" t="s">
        <v>1113</v>
      </c>
      <c r="B262" s="1" t="s">
        <v>1233</v>
      </c>
      <c r="C262" s="13" t="str">
        <f t="shared" si="4"/>
        <v>D18 (3r) creDt-ccdB P1</v>
      </c>
      <c r="D262" s="10" t="s">
        <v>1238</v>
      </c>
      <c r="F262" s="1" t="s">
        <v>57</v>
      </c>
      <c r="G262" s="1">
        <f>LEN(Table3[[#This Row],[Sequence]])</f>
        <v>51</v>
      </c>
      <c r="H262" s="1">
        <v>58</v>
      </c>
    </row>
    <row r="263" spans="1:9" x14ac:dyDescent="0.55000000000000004">
      <c r="A263" s="2" t="s">
        <v>1114</v>
      </c>
      <c r="B263" s="1" t="s">
        <v>1234</v>
      </c>
      <c r="C263" s="13" t="str">
        <f t="shared" si="4"/>
        <v>D19 (3r) creDt-ccdB P2</v>
      </c>
      <c r="D263" s="10" t="s">
        <v>1231</v>
      </c>
      <c r="F263" s="1" t="s">
        <v>57</v>
      </c>
      <c r="G263" s="1">
        <f>LEN(Table3[[#This Row],[Sequence]])</f>
        <v>27</v>
      </c>
      <c r="H263" s="1">
        <v>58</v>
      </c>
    </row>
    <row r="264" spans="1:9" x14ac:dyDescent="0.55000000000000004">
      <c r="A264" s="2" t="s">
        <v>1115</v>
      </c>
      <c r="B264" s="1" t="s">
        <v>1235</v>
      </c>
      <c r="C264" s="13" t="str">
        <f t="shared" si="4"/>
        <v>D20 (3r) creDt-ccdB P3</v>
      </c>
      <c r="D264" s="10" t="s">
        <v>1232</v>
      </c>
      <c r="F264" s="1" t="s">
        <v>57</v>
      </c>
      <c r="G264" s="1">
        <f>LEN(Table3[[#This Row],[Sequence]])</f>
        <v>35</v>
      </c>
      <c r="H264" s="1">
        <v>62</v>
      </c>
    </row>
    <row r="265" spans="1:9" x14ac:dyDescent="0.55000000000000004">
      <c r="A265" s="2" t="s">
        <v>1116</v>
      </c>
      <c r="B265" s="1" t="s">
        <v>1243</v>
      </c>
      <c r="C265" s="13" t="str">
        <f t="shared" si="4"/>
        <v>D21 (3r) creDt-ccdB P6</v>
      </c>
      <c r="D265" s="10" t="s">
        <v>1237</v>
      </c>
      <c r="F265" s="1" t="s">
        <v>57</v>
      </c>
      <c r="G265" s="1">
        <f>LEN(Table3[[#This Row],[Sequence]])</f>
        <v>43</v>
      </c>
      <c r="H265" s="1">
        <v>62</v>
      </c>
    </row>
    <row r="266" spans="1:9" x14ac:dyDescent="0.55000000000000004">
      <c r="A266" s="2" t="s">
        <v>1117</v>
      </c>
      <c r="B266" s="1" t="s">
        <v>1242</v>
      </c>
      <c r="C266" s="13" t="str">
        <f t="shared" si="4"/>
        <v>D22 (3r) creDt-ccdB P5</v>
      </c>
      <c r="D266" s="10" t="s">
        <v>1244</v>
      </c>
      <c r="F266" s="1" t="s">
        <v>57</v>
      </c>
      <c r="G266" s="1">
        <f>LEN(Table3[[#This Row],[Sequence]])</f>
        <v>27</v>
      </c>
    </row>
    <row r="267" spans="1:9" x14ac:dyDescent="0.55000000000000004">
      <c r="A267" s="2" t="s">
        <v>1118</v>
      </c>
      <c r="B267" s="1" t="s">
        <v>1236</v>
      </c>
      <c r="C267" s="13" t="str">
        <f t="shared" si="4"/>
        <v>D23 (3r) creDt-ccdB P4</v>
      </c>
      <c r="D267" s="10" t="s">
        <v>1245</v>
      </c>
      <c r="F267" s="1" t="s">
        <v>57</v>
      </c>
      <c r="G267" s="1">
        <f>LEN(Table3[[#This Row],[Sequence]])</f>
        <v>26</v>
      </c>
    </row>
    <row r="268" spans="1:9" x14ac:dyDescent="0.55000000000000004">
      <c r="A268" s="2" t="s">
        <v>1119</v>
      </c>
      <c r="B268" s="1" t="s">
        <v>1248</v>
      </c>
      <c r="C268" s="13" t="str">
        <f t="shared" si="4"/>
        <v>D24 (4) mCherry2 P1</v>
      </c>
      <c r="D268" s="216" t="s">
        <v>1246</v>
      </c>
      <c r="F268" s="1" t="s">
        <v>57</v>
      </c>
      <c r="G268" s="1">
        <f>LEN(Table3[[#This Row],[Sequence]])</f>
        <v>33</v>
      </c>
    </row>
    <row r="269" spans="1:9" x14ac:dyDescent="0.55000000000000004">
      <c r="A269" s="2" t="s">
        <v>1120</v>
      </c>
      <c r="B269" s="1" t="s">
        <v>1360</v>
      </c>
      <c r="C269" s="13" t="str">
        <f t="shared" si="4"/>
        <v>D25 (4) mCherry2 P4</v>
      </c>
      <c r="D269" s="217" t="s">
        <v>1247</v>
      </c>
      <c r="F269" s="1" t="s">
        <v>57</v>
      </c>
      <c r="G269" s="1">
        <f>LEN(Table3[[#This Row],[Sequence]])</f>
        <v>40</v>
      </c>
    </row>
    <row r="270" spans="1:9" x14ac:dyDescent="0.55000000000000004">
      <c r="A270" s="2" t="s">
        <v>1121</v>
      </c>
      <c r="B270" s="1" t="s">
        <v>1252</v>
      </c>
      <c r="C270" s="13" t="str">
        <f t="shared" si="4"/>
        <v>D26 (7) AprR P1</v>
      </c>
      <c r="D270" s="21" t="s">
        <v>1251</v>
      </c>
      <c r="F270" s="1" t="s">
        <v>57</v>
      </c>
      <c r="G270" s="1">
        <f>LEN(Table3[[#This Row],[Sequence]])</f>
        <v>37</v>
      </c>
      <c r="I270" s="10"/>
    </row>
    <row r="271" spans="1:9" x14ac:dyDescent="0.55000000000000004">
      <c r="A271" s="2" t="s">
        <v>1122</v>
      </c>
      <c r="B271" s="1" t="s">
        <v>1253</v>
      </c>
      <c r="C271" s="13" t="str">
        <f t="shared" si="4"/>
        <v>D27 (7) AprR P2</v>
      </c>
      <c r="D271" s="10" t="s">
        <v>1250</v>
      </c>
      <c r="F271" s="1" t="s">
        <v>57</v>
      </c>
      <c r="G271" s="1">
        <f>LEN(Table3[[#This Row],[Sequence]])</f>
        <v>55</v>
      </c>
      <c r="I271" s="10"/>
    </row>
    <row r="272" spans="1:9" x14ac:dyDescent="0.55000000000000004">
      <c r="A272" s="2" t="s">
        <v>1123</v>
      </c>
      <c r="B272" s="1" t="s">
        <v>1254</v>
      </c>
      <c r="C272" s="13" t="str">
        <f t="shared" si="4"/>
        <v>D28 (7) GenR P1</v>
      </c>
      <c r="D272" s="10" t="s">
        <v>1291</v>
      </c>
      <c r="F272" s="1" t="s">
        <v>57</v>
      </c>
      <c r="G272" s="1">
        <f>LEN(Table3[[#This Row],[Sequence]])</f>
        <v>39</v>
      </c>
    </row>
    <row r="273" spans="1:8" x14ac:dyDescent="0.55000000000000004">
      <c r="A273" s="2" t="s">
        <v>1124</v>
      </c>
      <c r="B273" s="1" t="s">
        <v>1255</v>
      </c>
      <c r="C273" s="13" t="str">
        <f t="shared" si="4"/>
        <v>D29 (7) GenR P2</v>
      </c>
      <c r="D273" s="10" t="s">
        <v>1258</v>
      </c>
      <c r="F273" s="1" t="s">
        <v>57</v>
      </c>
      <c r="G273" s="1">
        <f>LEN(Table3[[#This Row],[Sequence]])</f>
        <v>26</v>
      </c>
    </row>
    <row r="274" spans="1:8" x14ac:dyDescent="0.55000000000000004">
      <c r="A274" s="2" t="s">
        <v>1125</v>
      </c>
      <c r="B274" s="1" t="s">
        <v>1256</v>
      </c>
      <c r="C274" s="13" t="str">
        <f t="shared" si="4"/>
        <v>D30 (7) GenR P3</v>
      </c>
      <c r="D274" s="10" t="s">
        <v>1259</v>
      </c>
      <c r="F274" s="1" t="s">
        <v>57</v>
      </c>
      <c r="G274" s="1">
        <f>LEN(Table3[[#This Row],[Sequence]])</f>
        <v>27</v>
      </c>
    </row>
    <row r="275" spans="1:8" x14ac:dyDescent="0.55000000000000004">
      <c r="A275" s="2" t="s">
        <v>1126</v>
      </c>
      <c r="B275" s="1" t="s">
        <v>1257</v>
      </c>
      <c r="C275" s="13" t="str">
        <f t="shared" si="4"/>
        <v>D31 (7) GenR P4</v>
      </c>
      <c r="D275" s="10" t="s">
        <v>1292</v>
      </c>
      <c r="F275" s="1" t="s">
        <v>57</v>
      </c>
      <c r="G275" s="1">
        <f>LEN(Table3[[#This Row],[Sequence]])</f>
        <v>35</v>
      </c>
    </row>
    <row r="276" spans="1:8" x14ac:dyDescent="0.55000000000000004">
      <c r="A276" s="2" t="s">
        <v>1127</v>
      </c>
      <c r="B276" s="1" t="s">
        <v>1276</v>
      </c>
      <c r="C276" s="13" t="str">
        <f t="shared" si="4"/>
        <v>D32 (9) pBBR1 P1</v>
      </c>
      <c r="D276" s="10" t="s">
        <v>1546</v>
      </c>
      <c r="F276" s="1" t="s">
        <v>57</v>
      </c>
      <c r="G276" s="1">
        <f>LEN(Table3[[#This Row],[Sequence]])</f>
        <v>36</v>
      </c>
      <c r="H276" s="1" t="s">
        <v>965</v>
      </c>
    </row>
    <row r="277" spans="1:8" x14ac:dyDescent="0.55000000000000004">
      <c r="A277" s="2" t="s">
        <v>1128</v>
      </c>
      <c r="B277" s="1" t="s">
        <v>1280</v>
      </c>
      <c r="C277" s="13" t="str">
        <f t="shared" si="4"/>
        <v>D33 (9) pBBR1 P2</v>
      </c>
      <c r="D277" s="10" t="s">
        <v>1279</v>
      </c>
      <c r="F277" s="1" t="s">
        <v>57</v>
      </c>
      <c r="G277" s="1">
        <f>LEN(Table3[[#This Row],[Sequence]])</f>
        <v>32</v>
      </c>
    </row>
    <row r="278" spans="1:8" x14ac:dyDescent="0.55000000000000004">
      <c r="A278" s="2" t="s">
        <v>1129</v>
      </c>
      <c r="B278" s="1" t="s">
        <v>1265</v>
      </c>
      <c r="C278" s="13" t="str">
        <f t="shared" si="4"/>
        <v>D34 (9) pBBR1-mob P1</v>
      </c>
      <c r="D278" s="211" t="s">
        <v>1261</v>
      </c>
      <c r="F278" s="1" t="s">
        <v>57</v>
      </c>
      <c r="G278" s="1">
        <f>LEN(Table3[[#This Row],[Sequence]])</f>
        <v>35</v>
      </c>
      <c r="H278" s="1" t="s">
        <v>965</v>
      </c>
    </row>
    <row r="279" spans="1:8" x14ac:dyDescent="0.55000000000000004">
      <c r="A279" s="2" t="s">
        <v>1130</v>
      </c>
      <c r="B279" s="1" t="s">
        <v>1266</v>
      </c>
      <c r="C279" s="13" t="str">
        <f t="shared" si="4"/>
        <v>D35 (9) pBBR1-mob P2</v>
      </c>
      <c r="D279" s="10" t="s">
        <v>1277</v>
      </c>
      <c r="F279" s="1" t="s">
        <v>57</v>
      </c>
      <c r="G279" s="1">
        <f>LEN(Table3[[#This Row],[Sequence]])</f>
        <v>29</v>
      </c>
    </row>
    <row r="280" spans="1:8" x14ac:dyDescent="0.55000000000000004">
      <c r="A280" s="2" t="s">
        <v>1131</v>
      </c>
      <c r="B280" s="1" t="s">
        <v>1267</v>
      </c>
      <c r="C280" s="13" t="str">
        <f t="shared" si="4"/>
        <v>D36 (9) pBBR1-mob P3</v>
      </c>
      <c r="D280" s="10" t="s">
        <v>1278</v>
      </c>
      <c r="F280" s="1" t="s">
        <v>57</v>
      </c>
      <c r="G280" s="1">
        <f>LEN(Table3[[#This Row],[Sequence]])</f>
        <v>30</v>
      </c>
      <c r="H280" s="1" t="s">
        <v>965</v>
      </c>
    </row>
    <row r="281" spans="1:8" x14ac:dyDescent="0.55000000000000004">
      <c r="A281" s="2" t="s">
        <v>1132</v>
      </c>
      <c r="B281" s="1" t="s">
        <v>1268</v>
      </c>
      <c r="C281" s="13" t="str">
        <f t="shared" si="4"/>
        <v>D37 (9) pBBR1-mob P4</v>
      </c>
      <c r="D281" s="10" t="s">
        <v>1262</v>
      </c>
      <c r="F281" s="1" t="s">
        <v>57</v>
      </c>
      <c r="G281" s="1">
        <f>LEN(Table3[[#This Row],[Sequence]])</f>
        <v>27</v>
      </c>
    </row>
    <row r="282" spans="1:8" x14ac:dyDescent="0.55000000000000004">
      <c r="A282" s="2" t="s">
        <v>1133</v>
      </c>
      <c r="B282" s="1" t="s">
        <v>1269</v>
      </c>
      <c r="C282" s="13" t="str">
        <f t="shared" si="4"/>
        <v>D38 (9) pBBR1-mob P5</v>
      </c>
      <c r="D282" s="10" t="s">
        <v>1264</v>
      </c>
      <c r="F282" s="1" t="s">
        <v>57</v>
      </c>
      <c r="G282" s="1">
        <f>LEN(Table3[[#This Row],[Sequence]])</f>
        <v>31</v>
      </c>
      <c r="H282" s="1" t="s">
        <v>1282</v>
      </c>
    </row>
    <row r="283" spans="1:8" x14ac:dyDescent="0.55000000000000004">
      <c r="A283" s="2" t="s">
        <v>1134</v>
      </c>
      <c r="B283" s="1" t="s">
        <v>1270</v>
      </c>
      <c r="C283" s="13" t="str">
        <f t="shared" si="4"/>
        <v>D39 (9) pBBR1-mob P6</v>
      </c>
      <c r="D283" s="10" t="s">
        <v>1281</v>
      </c>
      <c r="F283" s="1" t="s">
        <v>57</v>
      </c>
      <c r="G283" s="1">
        <f>LEN(Table3[[#This Row],[Sequence]])</f>
        <v>28</v>
      </c>
    </row>
    <row r="284" spans="1:8" x14ac:dyDescent="0.55000000000000004">
      <c r="A284" s="2" t="s">
        <v>1135</v>
      </c>
      <c r="B284" s="1" t="s">
        <v>1271</v>
      </c>
      <c r="C284" s="13" t="str">
        <f t="shared" si="4"/>
        <v>D40 (9) pBBR1-mob P7</v>
      </c>
      <c r="D284" s="10" t="s">
        <v>1283</v>
      </c>
      <c r="F284" s="1" t="s">
        <v>57</v>
      </c>
      <c r="G284" s="1">
        <f>LEN(Table3[[#This Row],[Sequence]])</f>
        <v>31</v>
      </c>
      <c r="H284" s="1" t="s">
        <v>965</v>
      </c>
    </row>
    <row r="285" spans="1:8" x14ac:dyDescent="0.55000000000000004">
      <c r="A285" s="2" t="s">
        <v>1136</v>
      </c>
      <c r="B285" s="1" t="s">
        <v>1272</v>
      </c>
      <c r="C285" s="13" t="str">
        <f t="shared" si="4"/>
        <v>D41 (9) pBBR1-mob P8</v>
      </c>
      <c r="D285" s="10" t="s">
        <v>1284</v>
      </c>
      <c r="F285" s="1" t="s">
        <v>57</v>
      </c>
      <c r="G285" s="1">
        <f>LEN(Table3[[#This Row],[Sequence]])</f>
        <v>34</v>
      </c>
    </row>
    <row r="286" spans="1:8" x14ac:dyDescent="0.55000000000000004">
      <c r="A286" s="2" t="s">
        <v>1137</v>
      </c>
      <c r="B286" s="1" t="s">
        <v>1273</v>
      </c>
      <c r="C286" s="13" t="str">
        <f t="shared" si="4"/>
        <v>D42 (9) pBBR1-mob P9</v>
      </c>
      <c r="D286" s="10" t="s">
        <v>1286</v>
      </c>
      <c r="F286" s="1" t="s">
        <v>57</v>
      </c>
      <c r="G286" s="1">
        <f>LEN(Table3[[#This Row],[Sequence]])</f>
        <v>28</v>
      </c>
    </row>
    <row r="287" spans="1:8" x14ac:dyDescent="0.55000000000000004">
      <c r="A287" s="2" t="s">
        <v>1138</v>
      </c>
      <c r="B287" s="1" t="s">
        <v>1274</v>
      </c>
      <c r="C287" s="13" t="str">
        <f t="shared" si="4"/>
        <v>D43 (9) pBBR1-mob P10</v>
      </c>
      <c r="D287" s="10" t="s">
        <v>1285</v>
      </c>
      <c r="F287" s="1" t="s">
        <v>57</v>
      </c>
      <c r="G287" s="1">
        <f>LEN(Table3[[#This Row],[Sequence]])</f>
        <v>30</v>
      </c>
    </row>
    <row r="288" spans="1:8" x14ac:dyDescent="0.55000000000000004">
      <c r="A288" s="2" t="s">
        <v>1139</v>
      </c>
      <c r="B288" s="1" t="s">
        <v>1275</v>
      </c>
      <c r="C288" s="13" t="str">
        <f t="shared" si="4"/>
        <v>D44 (9) pBBR1-mob P11</v>
      </c>
      <c r="D288" s="10" t="s">
        <v>1263</v>
      </c>
      <c r="F288" s="1" t="s">
        <v>57</v>
      </c>
      <c r="G288" s="1">
        <f>LEN(Table3[[#This Row],[Sequence]])</f>
        <v>33</v>
      </c>
      <c r="H288" s="1" t="s">
        <v>965</v>
      </c>
    </row>
    <row r="289" spans="1:8" x14ac:dyDescent="0.55000000000000004">
      <c r="A289" s="2" t="s">
        <v>1140</v>
      </c>
      <c r="B289" s="1" t="s">
        <v>1287</v>
      </c>
      <c r="C289" s="13" t="str">
        <f t="shared" si="4"/>
        <v>D45 (7) KanR aph-II P1</v>
      </c>
      <c r="D289" s="10" t="s">
        <v>1289</v>
      </c>
      <c r="F289" s="1" t="s">
        <v>57</v>
      </c>
      <c r="G289" s="1">
        <f>LEN(Table3[[#This Row],[Sequence]])</f>
        <v>43</v>
      </c>
      <c r="H289" s="1" t="s">
        <v>966</v>
      </c>
    </row>
    <row r="290" spans="1:8" x14ac:dyDescent="0.55000000000000004">
      <c r="A290" s="2" t="s">
        <v>1141</v>
      </c>
      <c r="B290" s="1" t="s">
        <v>1288</v>
      </c>
      <c r="C290" s="13" t="str">
        <f t="shared" si="4"/>
        <v>D46 (7) KanR aph-II P2</v>
      </c>
      <c r="D290" s="10" t="s">
        <v>1290</v>
      </c>
      <c r="F290" s="1" t="s">
        <v>57</v>
      </c>
      <c r="G290" s="1">
        <f>LEN(Table3[[#This Row],[Sequence]])</f>
        <v>55</v>
      </c>
    </row>
    <row r="291" spans="1:8" x14ac:dyDescent="0.55000000000000004">
      <c r="A291" s="2" t="s">
        <v>1142</v>
      </c>
      <c r="B291" s="1" t="s">
        <v>1298</v>
      </c>
      <c r="C291" s="13" t="str">
        <f t="shared" si="4"/>
        <v>D47 (7) UBER P1</v>
      </c>
      <c r="D291" s="10" t="s">
        <v>1295</v>
      </c>
      <c r="F291" s="1" t="s">
        <v>57</v>
      </c>
      <c r="G291" s="1">
        <f>LEN(Table3[[#This Row],[Sequence]])</f>
        <v>43</v>
      </c>
      <c r="H291" s="1" t="s">
        <v>1282</v>
      </c>
    </row>
    <row r="292" spans="1:8" x14ac:dyDescent="0.55000000000000004">
      <c r="A292" s="2" t="s">
        <v>1143</v>
      </c>
      <c r="B292" s="1" t="s">
        <v>1299</v>
      </c>
      <c r="C292" s="13" t="str">
        <f t="shared" si="4"/>
        <v>D48 (7) UBER P2</v>
      </c>
      <c r="D292" s="10" t="s">
        <v>1294</v>
      </c>
      <c r="F292" s="1" t="s">
        <v>57</v>
      </c>
      <c r="G292" s="1">
        <f>LEN(Table3[[#This Row],[Sequence]])</f>
        <v>44</v>
      </c>
    </row>
    <row r="293" spans="1:8" x14ac:dyDescent="0.55000000000000004">
      <c r="A293" s="2" t="s">
        <v>1144</v>
      </c>
      <c r="B293" s="1" t="s">
        <v>1300</v>
      </c>
      <c r="C293" s="13" t="str">
        <f t="shared" si="4"/>
        <v>D49 (7) UBER P3</v>
      </c>
      <c r="D293" s="10" t="s">
        <v>1293</v>
      </c>
      <c r="F293" s="1" t="s">
        <v>57</v>
      </c>
      <c r="G293" s="1">
        <f>LEN(Table3[[#This Row],[Sequence]])</f>
        <v>36</v>
      </c>
      <c r="H293" s="1" t="s">
        <v>1296</v>
      </c>
    </row>
    <row r="294" spans="1:8" x14ac:dyDescent="0.55000000000000004">
      <c r="A294" s="2" t="s">
        <v>1145</v>
      </c>
      <c r="B294" s="1" t="s">
        <v>1301</v>
      </c>
      <c r="C294" s="13" t="str">
        <f t="shared" si="4"/>
        <v>D50 (7) UBER P4</v>
      </c>
      <c r="D294" s="10" t="s">
        <v>1297</v>
      </c>
      <c r="F294" s="1" t="s">
        <v>57</v>
      </c>
      <c r="G294" s="1">
        <f>LEN(Table3[[#This Row],[Sequence]])</f>
        <v>40</v>
      </c>
    </row>
    <row r="295" spans="1:8" x14ac:dyDescent="0.55000000000000004">
      <c r="A295" s="2" t="s">
        <v>1146</v>
      </c>
      <c r="B295" s="1" t="s">
        <v>1303</v>
      </c>
      <c r="C295" s="13" t="str">
        <f t="shared" si="4"/>
        <v>D51 (9) RSF1010 P1</v>
      </c>
      <c r="D295" s="10" t="s">
        <v>1305</v>
      </c>
      <c r="F295" s="1" t="s">
        <v>57</v>
      </c>
      <c r="G295" s="1">
        <f>LEN(Table3[[#This Row],[Sequence]])</f>
        <v>39</v>
      </c>
    </row>
    <row r="296" spans="1:8" x14ac:dyDescent="0.55000000000000004">
      <c r="A296" s="2" t="s">
        <v>1147</v>
      </c>
      <c r="B296" s="1" t="s">
        <v>1304</v>
      </c>
      <c r="C296" s="13" t="str">
        <f t="shared" si="4"/>
        <v>D52 (9) RSF1010 P2</v>
      </c>
      <c r="D296" s="10" t="s">
        <v>1306</v>
      </c>
      <c r="F296" s="1" t="s">
        <v>57</v>
      </c>
      <c r="G296" s="1">
        <f>LEN(Table3[[#This Row],[Sequence]])</f>
        <v>34</v>
      </c>
    </row>
    <row r="297" spans="1:8" x14ac:dyDescent="0.55000000000000004">
      <c r="A297" s="2" t="s">
        <v>1148</v>
      </c>
      <c r="B297" s="1" t="s">
        <v>1384</v>
      </c>
      <c r="C297" s="13" t="str">
        <f t="shared" si="4"/>
        <v>D53 RSF1010 P2</v>
      </c>
      <c r="D297" s="10" t="s">
        <v>1307</v>
      </c>
      <c r="F297" s="1" t="s">
        <v>57</v>
      </c>
      <c r="G297" s="1">
        <f>LEN(Table3[[#This Row],[Sequence]])</f>
        <v>25</v>
      </c>
    </row>
    <row r="298" spans="1:8" x14ac:dyDescent="0.55000000000000004">
      <c r="A298" s="2" t="s">
        <v>1149</v>
      </c>
      <c r="B298" s="1" t="s">
        <v>1308</v>
      </c>
      <c r="C298" s="13" t="str">
        <f t="shared" si="4"/>
        <v>D54 RSF1010 mobA.Y25F P3</v>
      </c>
      <c r="D298" s="10" t="s">
        <v>1309</v>
      </c>
      <c r="F298" s="1" t="s">
        <v>57</v>
      </c>
      <c r="G298" s="1">
        <f>LEN(Table3[[#This Row],[Sequence]])</f>
        <v>31</v>
      </c>
    </row>
    <row r="299" spans="1:8" x14ac:dyDescent="0.55000000000000004">
      <c r="A299" s="2" t="s">
        <v>1150</v>
      </c>
      <c r="B299" s="1" t="s">
        <v>1332</v>
      </c>
      <c r="C299" s="13" t="str">
        <f t="shared" si="4"/>
        <v>D55 (9) RK2 P1</v>
      </c>
      <c r="D299" s="10" t="s">
        <v>1347</v>
      </c>
      <c r="F299" s="1" t="s">
        <v>57</v>
      </c>
      <c r="G299" s="1">
        <f>LEN(Table3[[#This Row],[Sequence]])</f>
        <v>34</v>
      </c>
      <c r="H299" s="1" t="s">
        <v>965</v>
      </c>
    </row>
    <row r="300" spans="1:8" x14ac:dyDescent="0.55000000000000004">
      <c r="A300" s="2" t="s">
        <v>1151</v>
      </c>
      <c r="B300" s="1" t="s">
        <v>1333</v>
      </c>
      <c r="C300" s="13" t="str">
        <f t="shared" si="4"/>
        <v>D56 (9) RK2 P2</v>
      </c>
      <c r="D300" s="10" t="s">
        <v>1342</v>
      </c>
      <c r="F300" s="1" t="s">
        <v>57</v>
      </c>
      <c r="G300" s="1">
        <f>LEN(Table3[[#This Row],[Sequence]])</f>
        <v>30</v>
      </c>
    </row>
    <row r="301" spans="1:8" x14ac:dyDescent="0.55000000000000004">
      <c r="A301" s="2" t="s">
        <v>1152</v>
      </c>
      <c r="B301" s="1" t="s">
        <v>1340</v>
      </c>
      <c r="C301" s="13" t="str">
        <f t="shared" si="4"/>
        <v>D57 (9) RK2 P3</v>
      </c>
      <c r="D301" s="10" t="s">
        <v>1346</v>
      </c>
      <c r="F301" s="1" t="s">
        <v>57</v>
      </c>
      <c r="G301" s="1">
        <f>LEN(Table3[[#This Row],[Sequence]])</f>
        <v>33</v>
      </c>
      <c r="H301" s="1" t="s">
        <v>965</v>
      </c>
    </row>
    <row r="302" spans="1:8" x14ac:dyDescent="0.55000000000000004">
      <c r="A302" s="2" t="s">
        <v>1153</v>
      </c>
      <c r="B302" s="1" t="s">
        <v>1341</v>
      </c>
      <c r="C302" s="13" t="str">
        <f t="shared" si="4"/>
        <v>D58 (9) RK2 P4</v>
      </c>
      <c r="D302" s="10" t="s">
        <v>1343</v>
      </c>
      <c r="F302" s="1" t="s">
        <v>57</v>
      </c>
      <c r="G302" s="1">
        <f>LEN(Table3[[#This Row],[Sequence]])</f>
        <v>28</v>
      </c>
    </row>
    <row r="303" spans="1:8" x14ac:dyDescent="0.55000000000000004">
      <c r="A303" s="2" t="s">
        <v>1154</v>
      </c>
      <c r="B303" s="1" t="s">
        <v>1338</v>
      </c>
      <c r="C303" s="13" t="str">
        <f t="shared" si="4"/>
        <v>D59 (9) RK2 O1</v>
      </c>
      <c r="D303" s="10" t="s">
        <v>1344</v>
      </c>
      <c r="F303" s="1" t="s">
        <v>57</v>
      </c>
      <c r="G303" s="1">
        <f>LEN(Table3[[#This Row],[Sequence]])</f>
        <v>36</v>
      </c>
    </row>
    <row r="304" spans="1:8" x14ac:dyDescent="0.55000000000000004">
      <c r="A304" s="2" t="s">
        <v>1155</v>
      </c>
      <c r="B304" s="1" t="s">
        <v>1339</v>
      </c>
      <c r="C304" s="13" t="str">
        <f t="shared" si="4"/>
        <v>D60 (9) RK2 O2</v>
      </c>
      <c r="D304" s="10" t="s">
        <v>1345</v>
      </c>
      <c r="F304" s="1" t="s">
        <v>57</v>
      </c>
      <c r="G304" s="1">
        <f>LEN(Table3[[#This Row],[Sequence]])</f>
        <v>36</v>
      </c>
    </row>
    <row r="305" spans="1:8" x14ac:dyDescent="0.55000000000000004">
      <c r="A305" s="2" t="s">
        <v>1156</v>
      </c>
      <c r="B305" s="1" t="s">
        <v>1350</v>
      </c>
      <c r="C305" s="13" t="str">
        <f t="shared" si="4"/>
        <v>D61 (9) pET.r P1</v>
      </c>
      <c r="D305" s="10" t="s">
        <v>1348</v>
      </c>
      <c r="F305" s="1" t="s">
        <v>57</v>
      </c>
      <c r="G305" s="1">
        <f>LEN(Table3[[#This Row],[Sequence]])</f>
        <v>36</v>
      </c>
      <c r="H305" s="1" t="s">
        <v>1352</v>
      </c>
    </row>
    <row r="306" spans="1:8" x14ac:dyDescent="0.55000000000000004">
      <c r="A306" s="2" t="s">
        <v>1157</v>
      </c>
      <c r="B306" s="1" t="s">
        <v>1351</v>
      </c>
      <c r="C306" s="13" t="str">
        <f t="shared" si="4"/>
        <v>D62 (9) pET.r P2</v>
      </c>
      <c r="D306" s="10" t="s">
        <v>1349</v>
      </c>
      <c r="F306" s="1" t="s">
        <v>57</v>
      </c>
      <c r="G306" s="1">
        <f>LEN(Table3[[#This Row],[Sequence]])</f>
        <v>37</v>
      </c>
    </row>
    <row r="307" spans="1:8" x14ac:dyDescent="0.55000000000000004">
      <c r="A307" s="2" t="s">
        <v>1158</v>
      </c>
      <c r="B307" s="1" t="s">
        <v>1356</v>
      </c>
      <c r="C307" s="13" t="str">
        <f t="shared" si="4"/>
        <v>D63 (4) mScarlet P2</v>
      </c>
      <c r="D307" s="10" t="s">
        <v>1355</v>
      </c>
      <c r="F307" s="1" t="s">
        <v>57</v>
      </c>
      <c r="G307" s="1">
        <f>LEN(Table3[[#This Row],[Sequence]])</f>
        <v>27</v>
      </c>
      <c r="H307" s="1">
        <v>59</v>
      </c>
    </row>
    <row r="308" spans="1:8" x14ac:dyDescent="0.55000000000000004">
      <c r="A308" s="2" t="s">
        <v>1159</v>
      </c>
      <c r="B308" s="1" t="s">
        <v>1354</v>
      </c>
      <c r="C308" s="13" t="str">
        <f t="shared" si="4"/>
        <v>D64 (4) mScarlet P3</v>
      </c>
      <c r="D308" s="10" t="s">
        <v>1353</v>
      </c>
      <c r="F308" s="1" t="s">
        <v>57</v>
      </c>
      <c r="G308" s="1">
        <f>LEN(Table3[[#This Row],[Sequence]])</f>
        <v>28</v>
      </c>
      <c r="H308" s="1">
        <v>58</v>
      </c>
    </row>
    <row r="309" spans="1:8" x14ac:dyDescent="0.55000000000000004">
      <c r="A309" s="2" t="s">
        <v>1160</v>
      </c>
      <c r="B309" s="1" t="s">
        <v>1249</v>
      </c>
      <c r="C309" s="13" t="str">
        <f t="shared" si="4"/>
        <v>D65 (4) mCherry2 P2</v>
      </c>
      <c r="D309" s="10" t="s">
        <v>1357</v>
      </c>
      <c r="F309" s="1" t="s">
        <v>57</v>
      </c>
      <c r="G309" s="1">
        <f>LEN(Table3[[#This Row],[Sequence]])</f>
        <v>26</v>
      </c>
      <c r="H309" s="1">
        <v>59</v>
      </c>
    </row>
    <row r="310" spans="1:8" x14ac:dyDescent="0.55000000000000004">
      <c r="A310" s="2" t="s">
        <v>1316</v>
      </c>
      <c r="B310" s="1" t="s">
        <v>1358</v>
      </c>
      <c r="C310" s="13" t="str">
        <f t="shared" ref="C310:C315" si="5">CONCATENATE(A310," ",B310)</f>
        <v>D66 (4) mCherry2 P3</v>
      </c>
      <c r="D310" s="10" t="s">
        <v>1359</v>
      </c>
      <c r="F310" s="1" t="s">
        <v>57</v>
      </c>
      <c r="G310" s="1">
        <f>LEN(Table3[[#This Row],[Sequence]])</f>
        <v>28</v>
      </c>
      <c r="H310" s="1">
        <v>58</v>
      </c>
    </row>
    <row r="311" spans="1:8" x14ac:dyDescent="0.55000000000000004">
      <c r="A311" s="2" t="s">
        <v>1317</v>
      </c>
      <c r="B311" s="1" t="s">
        <v>1362</v>
      </c>
      <c r="C311" s="13" t="str">
        <f t="shared" si="5"/>
        <v>D67 (2) PL-lacO1b P2</v>
      </c>
      <c r="D311" s="10" t="s">
        <v>1361</v>
      </c>
      <c r="F311" s="1" t="s">
        <v>57</v>
      </c>
      <c r="G311" s="1">
        <f>LEN(Table3[[#This Row],[Sequence]])</f>
        <v>59</v>
      </c>
    </row>
    <row r="312" spans="1:8" x14ac:dyDescent="0.55000000000000004">
      <c r="A312" s="2" t="s">
        <v>1318</v>
      </c>
      <c r="B312" s="1" t="s">
        <v>1310</v>
      </c>
      <c r="C312" s="13" t="str">
        <f t="shared" si="5"/>
        <v>D68 (9) pBAC P1</v>
      </c>
      <c r="D312" s="10" t="s">
        <v>1363</v>
      </c>
      <c r="F312" s="1" t="s">
        <v>57</v>
      </c>
      <c r="G312" s="1">
        <f>LEN(Table3[[#This Row],[Sequence]])</f>
        <v>36</v>
      </c>
    </row>
    <row r="313" spans="1:8" x14ac:dyDescent="0.55000000000000004">
      <c r="A313" s="2" t="s">
        <v>1319</v>
      </c>
      <c r="B313" s="1" t="s">
        <v>1311</v>
      </c>
      <c r="C313" s="13" t="str">
        <f t="shared" si="5"/>
        <v>D69 (9) pBAC P2</v>
      </c>
      <c r="D313" s="10" t="s">
        <v>1364</v>
      </c>
      <c r="F313" s="1" t="s">
        <v>57</v>
      </c>
      <c r="G313" s="1">
        <f>LEN(Table3[[#This Row],[Sequence]])</f>
        <v>32</v>
      </c>
    </row>
    <row r="314" spans="1:8" x14ac:dyDescent="0.55000000000000004">
      <c r="A314" s="2" t="s">
        <v>1320</v>
      </c>
      <c r="B314" s="1" t="s">
        <v>1312</v>
      </c>
      <c r="C314" s="13" t="str">
        <f t="shared" si="5"/>
        <v>D70 (9) pBAC P3</v>
      </c>
      <c r="D314" s="10" t="s">
        <v>1366</v>
      </c>
      <c r="F314" s="1" t="s">
        <v>57</v>
      </c>
      <c r="G314" s="1">
        <f>LEN(Table3[[#This Row],[Sequence]])</f>
        <v>28</v>
      </c>
    </row>
    <row r="315" spans="1:8" x14ac:dyDescent="0.55000000000000004">
      <c r="A315" s="2" t="s">
        <v>1321</v>
      </c>
      <c r="B315" s="1" t="s">
        <v>1313</v>
      </c>
      <c r="C315" s="13" t="str">
        <f t="shared" si="5"/>
        <v>D71 (9) pBAC P4</v>
      </c>
      <c r="D315" s="10" t="s">
        <v>1365</v>
      </c>
      <c r="F315" s="1" t="s">
        <v>57</v>
      </c>
      <c r="G315" s="1">
        <f>LEN(Table3[[#This Row],[Sequence]])</f>
        <v>32</v>
      </c>
    </row>
    <row r="316" spans="1:8" x14ac:dyDescent="0.55000000000000004">
      <c r="A316" s="2" t="s">
        <v>1322</v>
      </c>
      <c r="B316" s="1" t="s">
        <v>1314</v>
      </c>
      <c r="C316" s="13" t="str">
        <f t="shared" ref="C316:C321" si="6">CONCATENATE(A316," ",B316)</f>
        <v>D72 (9) pBAC P5</v>
      </c>
      <c r="D316" s="10" t="s">
        <v>1369</v>
      </c>
      <c r="F316" s="1" t="s">
        <v>57</v>
      </c>
      <c r="G316" s="1">
        <f>LEN(Table3[[#This Row],[Sequence]])</f>
        <v>26</v>
      </c>
    </row>
    <row r="317" spans="1:8" x14ac:dyDescent="0.55000000000000004">
      <c r="A317" s="2" t="s">
        <v>1323</v>
      </c>
      <c r="B317" s="1" t="s">
        <v>1367</v>
      </c>
      <c r="C317" s="13" t="str">
        <f t="shared" si="6"/>
        <v>D73 (9) pBAC P6</v>
      </c>
      <c r="D317" s="10" t="s">
        <v>1368</v>
      </c>
      <c r="F317" s="1" t="s">
        <v>57</v>
      </c>
      <c r="G317" s="1">
        <f>LEN(Table3[[#This Row],[Sequence]])</f>
        <v>35</v>
      </c>
    </row>
    <row r="318" spans="1:8" x14ac:dyDescent="0.55000000000000004">
      <c r="A318" s="2" t="s">
        <v>1324</v>
      </c>
      <c r="B318" s="1" t="s">
        <v>1315</v>
      </c>
      <c r="C318" s="13" t="str">
        <f t="shared" si="6"/>
        <v>D74 (9) pBAC-oriV P6</v>
      </c>
      <c r="D318" s="10" t="s">
        <v>1370</v>
      </c>
      <c r="F318" s="1" t="s">
        <v>57</v>
      </c>
      <c r="G318" s="1">
        <f>LEN(Table3[[#This Row],[Sequence]])</f>
        <v>36</v>
      </c>
    </row>
    <row r="319" spans="1:8" x14ac:dyDescent="0.55000000000000004">
      <c r="A319" s="2" t="s">
        <v>1325</v>
      </c>
      <c r="B319" s="1" t="s">
        <v>1375</v>
      </c>
      <c r="C319" s="13" t="str">
        <f t="shared" si="6"/>
        <v>D75 (9) RK2 non-ts P2</v>
      </c>
      <c r="D319" s="10" t="s">
        <v>1377</v>
      </c>
      <c r="F319" s="1" t="s">
        <v>57</v>
      </c>
      <c r="G319" s="1">
        <f>LEN(Table3[[#This Row],[Sequence]])</f>
        <v>34</v>
      </c>
    </row>
    <row r="320" spans="1:8" x14ac:dyDescent="0.55000000000000004">
      <c r="A320" s="2" t="s">
        <v>1326</v>
      </c>
      <c r="B320" s="1" t="s">
        <v>1376</v>
      </c>
      <c r="C320" s="13" t="str">
        <f t="shared" si="6"/>
        <v>D76 (9) RK2 non-ts P3</v>
      </c>
      <c r="D320" s="10" t="s">
        <v>1378</v>
      </c>
      <c r="F320" s="1" t="s">
        <v>57</v>
      </c>
      <c r="G320" s="1">
        <f>LEN(Table3[[#This Row],[Sequence]])</f>
        <v>33</v>
      </c>
    </row>
    <row r="321" spans="1:8" x14ac:dyDescent="0.55000000000000004">
      <c r="A321" s="2" t="s">
        <v>1327</v>
      </c>
      <c r="B321" s="1" t="s">
        <v>1379</v>
      </c>
      <c r="C321" s="13" t="str">
        <f t="shared" si="6"/>
        <v>D77 (9) mini-F-P1 P1</v>
      </c>
      <c r="D321" s="10" t="s">
        <v>1382</v>
      </c>
      <c r="F321" s="1" t="s">
        <v>57</v>
      </c>
      <c r="G321" s="1">
        <f>LEN(Table3[[#This Row],[Sequence]])</f>
        <v>35</v>
      </c>
    </row>
    <row r="322" spans="1:8" x14ac:dyDescent="0.55000000000000004">
      <c r="A322" s="2" t="s">
        <v>1328</v>
      </c>
      <c r="B322" s="1" t="s">
        <v>1380</v>
      </c>
      <c r="C322" s="13" t="str">
        <f t="shared" ref="C322:C327" si="7">CONCATENATE(A322," ",B322)</f>
        <v>D78 (9) mini-F-P1 P2</v>
      </c>
      <c r="D322" s="10" t="s">
        <v>1381</v>
      </c>
      <c r="F322" s="1" t="s">
        <v>57</v>
      </c>
      <c r="G322" s="1">
        <f>LEN(Table3[[#This Row],[Sequence]])</f>
        <v>45</v>
      </c>
    </row>
    <row r="323" spans="1:8" x14ac:dyDescent="0.55000000000000004">
      <c r="A323" s="2" t="s">
        <v>1329</v>
      </c>
      <c r="B323" s="1" t="s">
        <v>1385</v>
      </c>
      <c r="C323" s="13" t="str">
        <f t="shared" si="7"/>
        <v>D79 RSF1010 P3</v>
      </c>
      <c r="D323" s="10" t="s">
        <v>1383</v>
      </c>
      <c r="F323" s="1" t="s">
        <v>57</v>
      </c>
      <c r="G323" s="1">
        <f>LEN(Table3[[#This Row],[Sequence]])</f>
        <v>29</v>
      </c>
    </row>
    <row r="324" spans="1:8" x14ac:dyDescent="0.55000000000000004">
      <c r="A324" s="2" t="s">
        <v>1330</v>
      </c>
      <c r="B324" s="1" t="s">
        <v>1388</v>
      </c>
      <c r="C324" s="13" t="str">
        <f t="shared" si="7"/>
        <v>D80 pWV01ts P2</v>
      </c>
      <c r="D324" s="10" t="s">
        <v>1386</v>
      </c>
      <c r="F324" s="1" t="s">
        <v>57</v>
      </c>
      <c r="G324" s="1">
        <f>LEN(Table3[[#This Row],[Sequence]])</f>
        <v>37</v>
      </c>
      <c r="H324" s="1">
        <v>57</v>
      </c>
    </row>
    <row r="325" spans="1:8" x14ac:dyDescent="0.55000000000000004">
      <c r="A325" s="2" t="s">
        <v>1331</v>
      </c>
      <c r="B325" s="2" t="s">
        <v>1389</v>
      </c>
      <c r="C325" s="13" t="str">
        <f t="shared" si="7"/>
        <v>D81 pWV01ts P3</v>
      </c>
      <c r="D325" s="10" t="s">
        <v>1387</v>
      </c>
      <c r="F325" s="1" t="s">
        <v>57</v>
      </c>
      <c r="G325" s="1">
        <f>LEN(Table3[[#This Row],[Sequence]])</f>
        <v>33</v>
      </c>
    </row>
    <row r="326" spans="1:8" x14ac:dyDescent="0.55000000000000004">
      <c r="A326" s="2" t="s">
        <v>1396</v>
      </c>
      <c r="B326" s="2" t="s">
        <v>1481</v>
      </c>
      <c r="C326" s="13" t="str">
        <f t="shared" si="7"/>
        <v>E01 RSF1010 seq P1</v>
      </c>
      <c r="D326" s="1" t="s">
        <v>1482</v>
      </c>
      <c r="F326" s="1" t="s">
        <v>57</v>
      </c>
      <c r="G326" s="1">
        <f>LEN(Table3[[#This Row],[Sequence]])</f>
        <v>18</v>
      </c>
    </row>
    <row r="327" spans="1:8" x14ac:dyDescent="0.55000000000000004">
      <c r="A327" s="2" t="s">
        <v>1397</v>
      </c>
      <c r="B327" s="2" t="s">
        <v>1483</v>
      </c>
      <c r="C327" s="13" t="str">
        <f t="shared" si="7"/>
        <v>E02 RSF1010 seq P2</v>
      </c>
      <c r="D327" s="1" t="s">
        <v>1484</v>
      </c>
      <c r="F327" s="1" t="s">
        <v>57</v>
      </c>
      <c r="G327" s="1">
        <f>LEN(Table3[[#This Row],[Sequence]])</f>
        <v>18</v>
      </c>
    </row>
    <row r="328" spans="1:8" x14ac:dyDescent="0.55000000000000004">
      <c r="A328" s="2" t="s">
        <v>1398</v>
      </c>
      <c r="B328" s="2" t="s">
        <v>1485</v>
      </c>
      <c r="C328" s="13" t="str">
        <f t="shared" ref="C328:C359" si="8">CONCATENATE(A328," ",B328)</f>
        <v>E03 RSF1010 seq P3</v>
      </c>
      <c r="D328" s="1" t="s">
        <v>1486</v>
      </c>
      <c r="G328" s="1">
        <f>LEN(Table3[[#This Row],[Sequence]])</f>
        <v>18</v>
      </c>
    </row>
    <row r="329" spans="1:8" x14ac:dyDescent="0.55000000000000004">
      <c r="A329" s="2" t="s">
        <v>1399</v>
      </c>
      <c r="B329" s="2" t="s">
        <v>1487</v>
      </c>
      <c r="C329" s="13" t="str">
        <f t="shared" si="8"/>
        <v>E04 RSF1010 seq P4</v>
      </c>
      <c r="D329" s="1" t="s">
        <v>1488</v>
      </c>
      <c r="G329" s="1">
        <f>LEN(Table3[[#This Row],[Sequence]])</f>
        <v>18</v>
      </c>
    </row>
    <row r="330" spans="1:8" x14ac:dyDescent="0.55000000000000004">
      <c r="A330" s="2" t="s">
        <v>1400</v>
      </c>
      <c r="B330" s="2" t="s">
        <v>1489</v>
      </c>
      <c r="C330" s="13" t="str">
        <f t="shared" si="8"/>
        <v>E05 RSF1010 seq P5</v>
      </c>
      <c r="D330" s="1" t="s">
        <v>1490</v>
      </c>
      <c r="G330" s="1">
        <f>LEN(Table3[[#This Row],[Sequence]])</f>
        <v>18</v>
      </c>
    </row>
    <row r="331" spans="1:8" x14ac:dyDescent="0.55000000000000004">
      <c r="A331" s="2" t="s">
        <v>1401</v>
      </c>
      <c r="B331" s="2" t="s">
        <v>1491</v>
      </c>
      <c r="C331" s="13" t="str">
        <f t="shared" si="8"/>
        <v>E06 RK2 seq P1</v>
      </c>
      <c r="D331" s="1" t="s">
        <v>1492</v>
      </c>
      <c r="G331" s="1">
        <f>LEN(Table3[[#This Row],[Sequence]])</f>
        <v>19</v>
      </c>
    </row>
    <row r="332" spans="1:8" x14ac:dyDescent="0.55000000000000004">
      <c r="A332" s="2" t="s">
        <v>1402</v>
      </c>
      <c r="B332" s="2" t="s">
        <v>1493</v>
      </c>
      <c r="C332" s="13" t="str">
        <f t="shared" si="8"/>
        <v>E07 BAC seq P1</v>
      </c>
      <c r="D332" s="1" t="s">
        <v>1494</v>
      </c>
      <c r="G332" s="1">
        <f>LEN(Table3[[#This Row],[Sequence]])</f>
        <v>20</v>
      </c>
    </row>
    <row r="333" spans="1:8" x14ac:dyDescent="0.55000000000000004">
      <c r="A333" s="2" t="s">
        <v>1403</v>
      </c>
      <c r="B333" s="2" t="s">
        <v>1495</v>
      </c>
      <c r="C333" s="13" t="str">
        <f t="shared" si="8"/>
        <v>E08 BAC seq P2</v>
      </c>
      <c r="D333" s="1" t="s">
        <v>1496</v>
      </c>
      <c r="G333" s="1">
        <f>LEN(Table3[[#This Row],[Sequence]])</f>
        <v>18</v>
      </c>
    </row>
    <row r="334" spans="1:8" x14ac:dyDescent="0.55000000000000004">
      <c r="A334" s="2" t="s">
        <v>1404</v>
      </c>
      <c r="B334" s="2" t="s">
        <v>1497</v>
      </c>
      <c r="C334" s="13" t="str">
        <f t="shared" si="8"/>
        <v>E09 BAC seq P3</v>
      </c>
      <c r="D334" s="1" t="s">
        <v>1498</v>
      </c>
      <c r="G334" s="1">
        <f>LEN(Table3[[#This Row],[Sequence]])</f>
        <v>21</v>
      </c>
    </row>
    <row r="335" spans="1:8" x14ac:dyDescent="0.55000000000000004">
      <c r="A335" s="2" t="s">
        <v>1405</v>
      </c>
      <c r="B335" s="2" t="s">
        <v>1499</v>
      </c>
      <c r="C335" s="13" t="str">
        <f t="shared" si="8"/>
        <v>E10 BAC seq P4</v>
      </c>
      <c r="D335" s="1" t="s">
        <v>1500</v>
      </c>
      <c r="G335" s="1">
        <f>LEN(Table3[[#This Row],[Sequence]])</f>
        <v>18</v>
      </c>
    </row>
    <row r="336" spans="1:8" x14ac:dyDescent="0.55000000000000004">
      <c r="A336" s="2" t="s">
        <v>1406</v>
      </c>
      <c r="B336" s="2" t="s">
        <v>1505</v>
      </c>
      <c r="C336" s="13" t="str">
        <f t="shared" si="8"/>
        <v>E11 T7.1 seq P1</v>
      </c>
      <c r="D336" s="1" t="s">
        <v>1501</v>
      </c>
      <c r="G336" s="1">
        <f>LEN(Table3[[#This Row],[Sequence]])</f>
        <v>19</v>
      </c>
    </row>
    <row r="337" spans="1:7" x14ac:dyDescent="0.55000000000000004">
      <c r="A337" s="2" t="s">
        <v>1407</v>
      </c>
      <c r="B337" s="2" t="s">
        <v>1506</v>
      </c>
      <c r="C337" s="13" t="str">
        <f t="shared" si="8"/>
        <v>E12 T7.1 seq P2</v>
      </c>
      <c r="D337" s="1" t="s">
        <v>1502</v>
      </c>
      <c r="G337" s="1">
        <f>LEN(Table3[[#This Row],[Sequence]])</f>
        <v>23</v>
      </c>
    </row>
    <row r="338" spans="1:7" x14ac:dyDescent="0.55000000000000004">
      <c r="A338" s="2" t="s">
        <v>1408</v>
      </c>
      <c r="B338" s="2" t="s">
        <v>1507</v>
      </c>
      <c r="C338" s="13" t="str">
        <f t="shared" si="8"/>
        <v>E13 T7.1 seq P3</v>
      </c>
      <c r="D338" s="1" t="s">
        <v>1503</v>
      </c>
      <c r="G338" s="1">
        <f>LEN(Table3[[#This Row],[Sequence]])</f>
        <v>24</v>
      </c>
    </row>
    <row r="339" spans="1:7" x14ac:dyDescent="0.55000000000000004">
      <c r="A339" s="2" t="s">
        <v>1409</v>
      </c>
      <c r="B339" s="2" t="s">
        <v>1508</v>
      </c>
      <c r="C339" s="13" t="str">
        <f t="shared" si="8"/>
        <v>E14 T7.1 seq P4</v>
      </c>
      <c r="D339" s="1" t="s">
        <v>1504</v>
      </c>
      <c r="G339" s="1">
        <f>LEN(Table3[[#This Row],[Sequence]])</f>
        <v>19</v>
      </c>
    </row>
    <row r="340" spans="1:7" x14ac:dyDescent="0.55000000000000004">
      <c r="A340" s="2" t="s">
        <v>1410</v>
      </c>
      <c r="B340" s="2" t="s">
        <v>1535</v>
      </c>
      <c r="C340" s="13" t="str">
        <f t="shared" si="8"/>
        <v>E15 (5) tT7 tZ P1</v>
      </c>
      <c r="D340" s="10" t="s">
        <v>1509</v>
      </c>
      <c r="G340" s="1">
        <f>LEN(Table3[[#This Row],[Sequence]])</f>
        <v>54</v>
      </c>
    </row>
    <row r="341" spans="1:7" x14ac:dyDescent="0.55000000000000004">
      <c r="A341" s="2" t="s">
        <v>1411</v>
      </c>
      <c r="B341" s="2" t="s">
        <v>1536</v>
      </c>
      <c r="C341" s="13" t="str">
        <f t="shared" si="8"/>
        <v>E16 (5) tT7 tZ P2</v>
      </c>
      <c r="D341" s="10" t="s">
        <v>1510</v>
      </c>
      <c r="G341" s="1">
        <f>LEN(Table3[[#This Row],[Sequence]])</f>
        <v>60</v>
      </c>
    </row>
    <row r="342" spans="1:7" x14ac:dyDescent="0.55000000000000004">
      <c r="A342" s="2" t="s">
        <v>1412</v>
      </c>
      <c r="B342" s="2" t="s">
        <v>1537</v>
      </c>
      <c r="C342" s="13" t="str">
        <f t="shared" si="8"/>
        <v>E17 (5) tT7 tZ P3</v>
      </c>
      <c r="D342" s="10" t="s">
        <v>1511</v>
      </c>
      <c r="G342" s="1">
        <f>LEN(Table3[[#This Row],[Sequence]])</f>
        <v>58</v>
      </c>
    </row>
    <row r="343" spans="1:7" x14ac:dyDescent="0.55000000000000004">
      <c r="A343" s="2" t="s">
        <v>1413</v>
      </c>
      <c r="B343" s="2" t="s">
        <v>1538</v>
      </c>
      <c r="C343" s="13" t="str">
        <f t="shared" si="8"/>
        <v>E18 (5) tT7 tZ P4</v>
      </c>
      <c r="D343" s="10" t="s">
        <v>1512</v>
      </c>
      <c r="G343" s="1">
        <f>LEN(Table3[[#This Row],[Sequence]])</f>
        <v>59</v>
      </c>
    </row>
    <row r="344" spans="1:7" x14ac:dyDescent="0.55000000000000004">
      <c r="A344" s="2" t="s">
        <v>1414</v>
      </c>
      <c r="B344" s="2" t="s">
        <v>1539</v>
      </c>
      <c r="C344" s="13" t="str">
        <f t="shared" si="8"/>
        <v>E19 (5) tT7 tZ P5</v>
      </c>
      <c r="D344" s="10" t="s">
        <v>1513</v>
      </c>
      <c r="G344" s="1">
        <f>LEN(Table3[[#This Row],[Sequence]])</f>
        <v>60</v>
      </c>
    </row>
    <row r="345" spans="1:7" x14ac:dyDescent="0.55000000000000004">
      <c r="A345" s="2" t="s">
        <v>1415</v>
      </c>
      <c r="B345" s="2" t="s">
        <v>1540</v>
      </c>
      <c r="C345" s="13" t="str">
        <f t="shared" si="8"/>
        <v>E20 (5) tT7 tZ P6</v>
      </c>
      <c r="D345" s="10" t="s">
        <v>1514</v>
      </c>
      <c r="G345" s="1">
        <f>LEN(Table3[[#This Row],[Sequence]])</f>
        <v>59</v>
      </c>
    </row>
    <row r="346" spans="1:7" x14ac:dyDescent="0.55000000000000004">
      <c r="A346" s="2" t="s">
        <v>1416</v>
      </c>
      <c r="B346" s="1" t="s">
        <v>1519</v>
      </c>
      <c r="C346" s="13" t="str">
        <f t="shared" si="8"/>
        <v>E21 (2) pT7 2lacOs O1</v>
      </c>
      <c r="D346" s="10" t="s">
        <v>1515</v>
      </c>
      <c r="G346" s="1">
        <f>LEN(Table3[[#This Row],[Sequence]])</f>
        <v>37</v>
      </c>
    </row>
    <row r="347" spans="1:7" x14ac:dyDescent="0.55000000000000004">
      <c r="A347" s="2" t="s">
        <v>1417</v>
      </c>
      <c r="B347" s="1" t="s">
        <v>1520</v>
      </c>
      <c r="C347" s="13" t="str">
        <f t="shared" si="8"/>
        <v>E22 (2) pT7 2lacOs O2</v>
      </c>
      <c r="D347" s="10" t="s">
        <v>1516</v>
      </c>
      <c r="G347" s="1">
        <f>LEN(Table3[[#This Row],[Sequence]])</f>
        <v>40</v>
      </c>
    </row>
    <row r="348" spans="1:7" x14ac:dyDescent="0.55000000000000004">
      <c r="A348" s="2" t="s">
        <v>1418</v>
      </c>
      <c r="B348" s="1" t="s">
        <v>1521</v>
      </c>
      <c r="C348" s="13" t="str">
        <f t="shared" si="8"/>
        <v>E23 (2) pT7 2lacOs O3</v>
      </c>
      <c r="D348" s="10" t="s">
        <v>1517</v>
      </c>
      <c r="G348" s="1">
        <f>LEN(Table3[[#This Row],[Sequence]])</f>
        <v>38</v>
      </c>
    </row>
    <row r="349" spans="1:7" x14ac:dyDescent="0.55000000000000004">
      <c r="A349" s="2" t="s">
        <v>1419</v>
      </c>
      <c r="B349" s="1" t="s">
        <v>1522</v>
      </c>
      <c r="C349" s="13" t="str">
        <f t="shared" si="8"/>
        <v>E24 (2) pT7 2lacOs O4</v>
      </c>
      <c r="D349" s="10" t="s">
        <v>1518</v>
      </c>
      <c r="G349" s="1">
        <f>LEN(Table3[[#This Row],[Sequence]])</f>
        <v>35</v>
      </c>
    </row>
    <row r="350" spans="1:7" x14ac:dyDescent="0.55000000000000004">
      <c r="A350" s="2" t="s">
        <v>1420</v>
      </c>
      <c r="B350" s="1" t="s">
        <v>1523</v>
      </c>
      <c r="C350" s="13" t="str">
        <f t="shared" si="8"/>
        <v>E25 (2) pT7 2tetO2 O1</v>
      </c>
      <c r="D350" s="10" t="s">
        <v>1527</v>
      </c>
      <c r="G350" s="1">
        <f>LEN(Table3[[#This Row],[Sequence]])</f>
        <v>36</v>
      </c>
    </row>
    <row r="351" spans="1:7" x14ac:dyDescent="0.55000000000000004">
      <c r="A351" s="2" t="s">
        <v>1421</v>
      </c>
      <c r="B351" s="1" t="s">
        <v>1524</v>
      </c>
      <c r="C351" s="13" t="str">
        <f t="shared" si="8"/>
        <v>E26 (2) pT7 2tetO2 O2</v>
      </c>
      <c r="D351" s="10" t="s">
        <v>1530</v>
      </c>
      <c r="G351" s="1">
        <f>LEN(Table3[[#This Row],[Sequence]])</f>
        <v>41</v>
      </c>
    </row>
    <row r="352" spans="1:7" x14ac:dyDescent="0.55000000000000004">
      <c r="A352" s="2" t="s">
        <v>1422</v>
      </c>
      <c r="B352" s="1" t="s">
        <v>1525</v>
      </c>
      <c r="C352" s="13" t="str">
        <f t="shared" si="8"/>
        <v>E27 (2) pT7 2tetO2 O3</v>
      </c>
      <c r="D352" s="10" t="s">
        <v>1528</v>
      </c>
      <c r="G352" s="1">
        <f>LEN(Table3[[#This Row],[Sequence]])</f>
        <v>38</v>
      </c>
    </row>
    <row r="353" spans="1:7" x14ac:dyDescent="0.55000000000000004">
      <c r="A353" s="2" t="s">
        <v>1423</v>
      </c>
      <c r="B353" s="1" t="s">
        <v>1526</v>
      </c>
      <c r="C353" s="13" t="str">
        <f t="shared" si="8"/>
        <v>E28 (2) pT7 2tetO2 O4</v>
      </c>
      <c r="D353" s="10" t="s">
        <v>1529</v>
      </c>
      <c r="G353" s="1">
        <f>LEN(Table3[[#This Row],[Sequence]])</f>
        <v>33</v>
      </c>
    </row>
    <row r="354" spans="1:7" x14ac:dyDescent="0.55000000000000004">
      <c r="A354" s="2" t="s">
        <v>1424</v>
      </c>
      <c r="B354" s="1" t="s">
        <v>1531</v>
      </c>
      <c r="C354" s="13" t="str">
        <f t="shared" si="8"/>
        <v>E29 (2) pT7 O1</v>
      </c>
      <c r="D354" s="1" t="s">
        <v>1541</v>
      </c>
      <c r="G354" s="1">
        <f>LEN(Table3[[#This Row],[Sequence]])</f>
        <v>36</v>
      </c>
    </row>
    <row r="355" spans="1:7" x14ac:dyDescent="0.55000000000000004">
      <c r="A355" s="2" t="s">
        <v>1425</v>
      </c>
      <c r="B355" s="1" t="s">
        <v>1532</v>
      </c>
      <c r="C355" s="13" t="str">
        <f t="shared" si="8"/>
        <v>E30 (2) pT7 O2</v>
      </c>
      <c r="D355" s="1" t="s">
        <v>1542</v>
      </c>
      <c r="G355" s="1">
        <f>LEN(Table3[[#This Row],[Sequence]])</f>
        <v>36</v>
      </c>
    </row>
    <row r="356" spans="1:7" x14ac:dyDescent="0.55000000000000004">
      <c r="A356" s="2" t="s">
        <v>1426</v>
      </c>
      <c r="B356" s="1" t="s">
        <v>1533</v>
      </c>
      <c r="C356" s="13" t="str">
        <f t="shared" si="8"/>
        <v>E31 (5) tT7 T.7 O1</v>
      </c>
      <c r="D356" s="1" t="s">
        <v>1543</v>
      </c>
      <c r="G356" s="1">
        <f>LEN(Table3[[#This Row],[Sequence]])</f>
        <v>60</v>
      </c>
    </row>
    <row r="357" spans="1:7" x14ac:dyDescent="0.55000000000000004">
      <c r="A357" s="2" t="s">
        <v>1427</v>
      </c>
      <c r="B357" s="1" t="s">
        <v>1534</v>
      </c>
      <c r="C357" s="13" t="str">
        <f t="shared" si="8"/>
        <v>E32 (5) tT7 T.7 O2</v>
      </c>
      <c r="D357" s="1" t="s">
        <v>1544</v>
      </c>
      <c r="G357" s="1">
        <f>LEN(Table3[[#This Row],[Sequence]])</f>
        <v>60</v>
      </c>
    </row>
    <row r="358" spans="1:7" x14ac:dyDescent="0.55000000000000004">
      <c r="A358" s="2" t="s">
        <v>1428</v>
      </c>
      <c r="B358" s="1" t="s">
        <v>1548</v>
      </c>
      <c r="C358" s="13" t="str">
        <f t="shared" si="8"/>
        <v>E33 RSF1010 seq P6</v>
      </c>
      <c r="D358" s="10" t="s">
        <v>1549</v>
      </c>
      <c r="G358" s="1">
        <f>LEN(Table3[[#This Row],[Sequence]])</f>
        <v>17</v>
      </c>
    </row>
    <row r="359" spans="1:7" x14ac:dyDescent="0.55000000000000004">
      <c r="A359" s="2" t="s">
        <v>1429</v>
      </c>
      <c r="B359" s="1" t="s">
        <v>1552</v>
      </c>
      <c r="C359" s="13" t="str">
        <f t="shared" si="8"/>
        <v>E34 RK2 seq P2</v>
      </c>
      <c r="D359" s="10" t="s">
        <v>1553</v>
      </c>
      <c r="G359" s="1">
        <f>LEN(Table3[[#This Row],[Sequence]])</f>
        <v>18</v>
      </c>
    </row>
    <row r="360" spans="1:7" x14ac:dyDescent="0.55000000000000004">
      <c r="A360" s="2" t="s">
        <v>1430</v>
      </c>
      <c r="B360" s="1" t="s">
        <v>1545</v>
      </c>
      <c r="C360" s="13" t="str">
        <f t="shared" ref="C360:C391" si="9">CONCATENATE(A360," ",B360)</f>
        <v>E35 (1-8*) mKate2-KanRII</v>
      </c>
      <c r="D360" s="10" t="s">
        <v>1570</v>
      </c>
      <c r="G360" s="1">
        <f>LEN(Table3[[#This Row],[Sequence]])</f>
        <v>33</v>
      </c>
    </row>
    <row r="361" spans="1:7" x14ac:dyDescent="0.55000000000000004">
      <c r="A361" s="2" t="s">
        <v>1431</v>
      </c>
      <c r="B361" s="1" t="s">
        <v>1545</v>
      </c>
      <c r="C361" s="13" t="str">
        <f t="shared" si="9"/>
        <v>E36 (1-8*) mKate2-KanRII</v>
      </c>
      <c r="D361" s="10" t="s">
        <v>1571</v>
      </c>
      <c r="G361" s="1">
        <f>LEN(Table3[[#This Row],[Sequence]])</f>
        <v>37</v>
      </c>
    </row>
    <row r="362" spans="1:7" x14ac:dyDescent="0.55000000000000004">
      <c r="A362" s="2" t="s">
        <v>1432</v>
      </c>
      <c r="B362" s="1" t="s">
        <v>1550</v>
      </c>
      <c r="C362" s="13" t="str">
        <f t="shared" si="9"/>
        <v>E37 pBBR1 seq P1</v>
      </c>
      <c r="D362" s="10" t="s">
        <v>1551</v>
      </c>
      <c r="G362" s="1">
        <f>LEN(Table3[[#This Row],[Sequence]])</f>
        <v>17</v>
      </c>
    </row>
    <row r="363" spans="1:7" x14ac:dyDescent="0.55000000000000004">
      <c r="A363" s="2" t="s">
        <v>1433</v>
      </c>
      <c r="B363" s="1" t="s">
        <v>1557</v>
      </c>
      <c r="C363" s="13" t="str">
        <f t="shared" si="9"/>
        <v>E38 (9) R6Kγ ori P1</v>
      </c>
      <c r="D363" s="10" t="s">
        <v>1559</v>
      </c>
      <c r="G363" s="1">
        <f>LEN(Table3[[#This Row],[Sequence]])</f>
        <v>37</v>
      </c>
    </row>
    <row r="364" spans="1:7" x14ac:dyDescent="0.55000000000000004">
      <c r="A364" s="2" t="s">
        <v>1434</v>
      </c>
      <c r="B364" s="1" t="s">
        <v>1558</v>
      </c>
      <c r="C364" s="13" t="str">
        <f t="shared" si="9"/>
        <v>E39 (9) R6Kγ ori P2</v>
      </c>
      <c r="D364" s="10" t="s">
        <v>1560</v>
      </c>
      <c r="G364" s="1">
        <f>LEN(Table3[[#This Row],[Sequence]])</f>
        <v>34</v>
      </c>
    </row>
    <row r="365" spans="1:7" x14ac:dyDescent="0.55000000000000004">
      <c r="A365" s="2" t="s">
        <v>1435</v>
      </c>
      <c r="B365" s="1" t="s">
        <v>1564</v>
      </c>
      <c r="C365" s="13" t="str">
        <f t="shared" si="9"/>
        <v>E40 (3br) creDt-ccdB P1</v>
      </c>
      <c r="D365" s="10" t="s">
        <v>1563</v>
      </c>
      <c r="G365" s="1">
        <f>LEN(Table3[[#This Row],[Sequence]])</f>
        <v>37</v>
      </c>
    </row>
    <row r="366" spans="1:7" x14ac:dyDescent="0.55000000000000004">
      <c r="A366" s="2" t="s">
        <v>1436</v>
      </c>
      <c r="B366" s="1" t="s">
        <v>1565</v>
      </c>
      <c r="C366" s="13" t="str">
        <f t="shared" si="9"/>
        <v>E41 (2r) creDt-ccdB P1</v>
      </c>
      <c r="D366" s="10" t="s">
        <v>1566</v>
      </c>
      <c r="G366" s="1">
        <f>LEN(Table3[[#This Row],[Sequence]])</f>
        <v>37</v>
      </c>
    </row>
    <row r="367" spans="1:7" x14ac:dyDescent="0.55000000000000004">
      <c r="A367" s="2" t="s">
        <v>1437</v>
      </c>
      <c r="C367" s="202" t="str">
        <f t="shared" si="9"/>
        <v xml:space="preserve">E42 </v>
      </c>
      <c r="D367" s="10"/>
      <c r="G367" s="1">
        <f>LEN(Table3[[#This Row],[Sequence]])</f>
        <v>0</v>
      </c>
    </row>
    <row r="368" spans="1:7" x14ac:dyDescent="0.55000000000000004">
      <c r="A368" s="2" t="s">
        <v>1438</v>
      </c>
      <c r="C368" s="202" t="str">
        <f t="shared" si="9"/>
        <v xml:space="preserve">E43 </v>
      </c>
      <c r="D368" s="10"/>
      <c r="G368" s="1">
        <f>LEN(Table3[[#This Row],[Sequence]])</f>
        <v>0</v>
      </c>
    </row>
    <row r="369" spans="1:7" x14ac:dyDescent="0.55000000000000004">
      <c r="A369" s="2" t="s">
        <v>1439</v>
      </c>
      <c r="C369" s="202" t="str">
        <f t="shared" si="9"/>
        <v xml:space="preserve">E44 </v>
      </c>
      <c r="D369" s="10"/>
      <c r="G369" s="1">
        <f>LEN(Table3[[#This Row],[Sequence]])</f>
        <v>0</v>
      </c>
    </row>
    <row r="370" spans="1:7" x14ac:dyDescent="0.55000000000000004">
      <c r="A370" s="2" t="s">
        <v>1440</v>
      </c>
      <c r="C370" s="202" t="str">
        <f t="shared" si="9"/>
        <v xml:space="preserve">E45 </v>
      </c>
      <c r="D370" s="10"/>
      <c r="G370" s="1">
        <f>LEN(Table3[[#This Row],[Sequence]])</f>
        <v>0</v>
      </c>
    </row>
    <row r="371" spans="1:7" x14ac:dyDescent="0.55000000000000004">
      <c r="A371" s="2" t="s">
        <v>1441</v>
      </c>
      <c r="C371" s="202" t="str">
        <f t="shared" si="9"/>
        <v xml:space="preserve">E46 </v>
      </c>
      <c r="D371" s="10"/>
      <c r="G371" s="1">
        <f>LEN(Table3[[#This Row],[Sequence]])</f>
        <v>0</v>
      </c>
    </row>
    <row r="372" spans="1:7" x14ac:dyDescent="0.55000000000000004">
      <c r="A372" s="2" t="s">
        <v>1442</v>
      </c>
      <c r="C372" s="202" t="str">
        <f t="shared" si="9"/>
        <v xml:space="preserve">E47 </v>
      </c>
      <c r="D372" s="10"/>
      <c r="G372" s="1">
        <f>LEN(Table3[[#This Row],[Sequence]])</f>
        <v>0</v>
      </c>
    </row>
    <row r="373" spans="1:7" x14ac:dyDescent="0.55000000000000004">
      <c r="A373" s="2" t="s">
        <v>1443</v>
      </c>
      <c r="C373" s="202" t="str">
        <f t="shared" si="9"/>
        <v xml:space="preserve">E48 </v>
      </c>
      <c r="D373" s="10"/>
      <c r="G373" s="1">
        <f>LEN(Table3[[#This Row],[Sequence]])</f>
        <v>0</v>
      </c>
    </row>
    <row r="374" spans="1:7" x14ac:dyDescent="0.55000000000000004">
      <c r="A374" s="2" t="s">
        <v>1444</v>
      </c>
      <c r="C374" s="202" t="str">
        <f t="shared" si="9"/>
        <v xml:space="preserve">E49 </v>
      </c>
      <c r="D374" s="10"/>
      <c r="G374" s="1">
        <f>LEN(Table3[[#This Row],[Sequence]])</f>
        <v>0</v>
      </c>
    </row>
    <row r="375" spans="1:7" x14ac:dyDescent="0.55000000000000004">
      <c r="A375" s="2" t="s">
        <v>1445</v>
      </c>
      <c r="C375" s="202" t="str">
        <f t="shared" si="9"/>
        <v xml:space="preserve">E50 </v>
      </c>
      <c r="D375" s="10"/>
      <c r="G375" s="1">
        <f>LEN(Table3[[#This Row],[Sequence]])</f>
        <v>0</v>
      </c>
    </row>
    <row r="376" spans="1:7" x14ac:dyDescent="0.55000000000000004">
      <c r="A376" s="2" t="s">
        <v>1446</v>
      </c>
      <c r="C376" s="202" t="str">
        <f t="shared" si="9"/>
        <v xml:space="preserve">E51 </v>
      </c>
      <c r="D376" s="10"/>
      <c r="G376" s="1">
        <f>LEN(Table3[[#This Row],[Sequence]])</f>
        <v>0</v>
      </c>
    </row>
    <row r="377" spans="1:7" x14ac:dyDescent="0.55000000000000004">
      <c r="A377" s="2" t="s">
        <v>1447</v>
      </c>
      <c r="C377" s="202" t="str">
        <f t="shared" si="9"/>
        <v xml:space="preserve">E52 </v>
      </c>
      <c r="D377" s="10"/>
      <c r="G377" s="1">
        <f>LEN(Table3[[#This Row],[Sequence]])</f>
        <v>0</v>
      </c>
    </row>
    <row r="378" spans="1:7" x14ac:dyDescent="0.55000000000000004">
      <c r="A378" s="2" t="s">
        <v>1448</v>
      </c>
      <c r="C378" s="202" t="str">
        <f t="shared" si="9"/>
        <v xml:space="preserve">E53 </v>
      </c>
      <c r="D378" s="10"/>
      <c r="G378" s="1">
        <f>LEN(Table3[[#This Row],[Sequence]])</f>
        <v>0</v>
      </c>
    </row>
    <row r="379" spans="1:7" x14ac:dyDescent="0.55000000000000004">
      <c r="A379" s="2" t="s">
        <v>1449</v>
      </c>
      <c r="C379" s="202" t="str">
        <f t="shared" si="9"/>
        <v xml:space="preserve">E54 </v>
      </c>
      <c r="D379" s="10"/>
      <c r="G379" s="1">
        <f>LEN(Table3[[#This Row],[Sequence]])</f>
        <v>0</v>
      </c>
    </row>
    <row r="380" spans="1:7" x14ac:dyDescent="0.55000000000000004">
      <c r="A380" s="2" t="s">
        <v>1450</v>
      </c>
      <c r="C380" s="202" t="str">
        <f t="shared" si="9"/>
        <v xml:space="preserve">E55 </v>
      </c>
      <c r="D380" s="10"/>
      <c r="G380" s="1">
        <f>LEN(Table3[[#This Row],[Sequence]])</f>
        <v>0</v>
      </c>
    </row>
    <row r="381" spans="1:7" x14ac:dyDescent="0.55000000000000004">
      <c r="A381" s="2" t="s">
        <v>1451</v>
      </c>
      <c r="C381" s="202" t="str">
        <f t="shared" si="9"/>
        <v xml:space="preserve">E56 </v>
      </c>
      <c r="D381" s="10"/>
      <c r="G381" s="1">
        <f>LEN(Table3[[#This Row],[Sequence]])</f>
        <v>0</v>
      </c>
    </row>
    <row r="382" spans="1:7" x14ac:dyDescent="0.55000000000000004">
      <c r="A382" s="2" t="s">
        <v>1452</v>
      </c>
      <c r="C382" s="202" t="str">
        <f t="shared" si="9"/>
        <v xml:space="preserve">E57 </v>
      </c>
      <c r="D382" s="10"/>
      <c r="G382" s="1">
        <f>LEN(Table3[[#This Row],[Sequence]])</f>
        <v>0</v>
      </c>
    </row>
    <row r="383" spans="1:7" x14ac:dyDescent="0.55000000000000004">
      <c r="A383" s="2" t="s">
        <v>1453</v>
      </c>
      <c r="C383" s="202" t="str">
        <f t="shared" si="9"/>
        <v xml:space="preserve">E58 </v>
      </c>
      <c r="D383" s="10"/>
      <c r="G383" s="1">
        <f>LEN(Table3[[#This Row],[Sequence]])</f>
        <v>0</v>
      </c>
    </row>
    <row r="384" spans="1:7" x14ac:dyDescent="0.55000000000000004">
      <c r="A384" s="2" t="s">
        <v>1454</v>
      </c>
      <c r="C384" s="202" t="str">
        <f t="shared" si="9"/>
        <v xml:space="preserve">E59 </v>
      </c>
      <c r="D384" s="10"/>
      <c r="G384" s="1">
        <f>LEN(Table3[[#This Row],[Sequence]])</f>
        <v>0</v>
      </c>
    </row>
    <row r="385" spans="1:7" x14ac:dyDescent="0.55000000000000004">
      <c r="A385" s="2" t="s">
        <v>1455</v>
      </c>
      <c r="C385" s="202" t="str">
        <f t="shared" si="9"/>
        <v xml:space="preserve">E60 </v>
      </c>
      <c r="D385" s="10"/>
      <c r="G385" s="1">
        <f>LEN(Table3[[#This Row],[Sequence]])</f>
        <v>0</v>
      </c>
    </row>
    <row r="386" spans="1:7" x14ac:dyDescent="0.55000000000000004">
      <c r="A386" s="2" t="s">
        <v>1456</v>
      </c>
      <c r="C386" s="202" t="str">
        <f t="shared" si="9"/>
        <v xml:space="preserve">E61 </v>
      </c>
      <c r="D386" s="10"/>
      <c r="G386" s="1">
        <f>LEN(Table3[[#This Row],[Sequence]])</f>
        <v>0</v>
      </c>
    </row>
    <row r="387" spans="1:7" x14ac:dyDescent="0.55000000000000004">
      <c r="A387" s="2" t="s">
        <v>1457</v>
      </c>
      <c r="C387" s="202" t="str">
        <f t="shared" si="9"/>
        <v xml:space="preserve">E62 </v>
      </c>
      <c r="D387" s="10"/>
      <c r="G387" s="1">
        <f>LEN(Table3[[#This Row],[Sequence]])</f>
        <v>0</v>
      </c>
    </row>
    <row r="388" spans="1:7" x14ac:dyDescent="0.55000000000000004">
      <c r="A388" s="2" t="s">
        <v>1458</v>
      </c>
      <c r="C388" s="202" t="str">
        <f t="shared" si="9"/>
        <v xml:space="preserve">E63 </v>
      </c>
      <c r="D388" s="10"/>
      <c r="G388" s="1">
        <f>LEN(Table3[[#This Row],[Sequence]])</f>
        <v>0</v>
      </c>
    </row>
    <row r="389" spans="1:7" x14ac:dyDescent="0.55000000000000004">
      <c r="A389" s="2" t="s">
        <v>1459</v>
      </c>
      <c r="C389" s="202" t="str">
        <f t="shared" si="9"/>
        <v xml:space="preserve">E64 </v>
      </c>
      <c r="D389" s="10"/>
      <c r="G389" s="1">
        <f>LEN(Table3[[#This Row],[Sequence]])</f>
        <v>0</v>
      </c>
    </row>
    <row r="390" spans="1:7" x14ac:dyDescent="0.55000000000000004">
      <c r="A390" s="2" t="s">
        <v>1460</v>
      </c>
      <c r="C390" s="202" t="str">
        <f t="shared" si="9"/>
        <v xml:space="preserve">E65 </v>
      </c>
      <c r="D390" s="10"/>
      <c r="G390" s="1">
        <f>LEN(Table3[[#This Row],[Sequence]])</f>
        <v>0</v>
      </c>
    </row>
    <row r="391" spans="1:7" x14ac:dyDescent="0.55000000000000004">
      <c r="A391" s="2" t="s">
        <v>1461</v>
      </c>
      <c r="C391" s="202" t="str">
        <f t="shared" si="9"/>
        <v xml:space="preserve">E66 </v>
      </c>
      <c r="D391" s="10"/>
      <c r="G391" s="1">
        <f>LEN(Table3[[#This Row],[Sequence]])</f>
        <v>0</v>
      </c>
    </row>
    <row r="392" spans="1:7" x14ac:dyDescent="0.55000000000000004">
      <c r="A392" s="2" t="s">
        <v>1462</v>
      </c>
      <c r="C392" s="202" t="str">
        <f t="shared" ref="C392:C406" si="10">CONCATENATE(A392," ",B392)</f>
        <v xml:space="preserve">E67 </v>
      </c>
      <c r="D392" s="10"/>
      <c r="G392" s="1">
        <f>LEN(Table3[[#This Row],[Sequence]])</f>
        <v>0</v>
      </c>
    </row>
    <row r="393" spans="1:7" x14ac:dyDescent="0.55000000000000004">
      <c r="A393" s="2" t="s">
        <v>1463</v>
      </c>
      <c r="C393" s="202" t="str">
        <f t="shared" si="10"/>
        <v xml:space="preserve">E68 </v>
      </c>
      <c r="D393" s="10"/>
      <c r="G393" s="1">
        <f>LEN(Table3[[#This Row],[Sequence]])</f>
        <v>0</v>
      </c>
    </row>
    <row r="394" spans="1:7" x14ac:dyDescent="0.55000000000000004">
      <c r="A394" s="2" t="s">
        <v>1464</v>
      </c>
      <c r="C394" s="202" t="str">
        <f t="shared" si="10"/>
        <v xml:space="preserve">E69 </v>
      </c>
      <c r="D394" s="10"/>
      <c r="G394" s="1">
        <f>LEN(Table3[[#This Row],[Sequence]])</f>
        <v>0</v>
      </c>
    </row>
    <row r="395" spans="1:7" x14ac:dyDescent="0.55000000000000004">
      <c r="A395" s="2" t="s">
        <v>1465</v>
      </c>
      <c r="C395" s="202" t="str">
        <f t="shared" si="10"/>
        <v xml:space="preserve">E70 </v>
      </c>
      <c r="D395" s="10"/>
      <c r="G395" s="1">
        <f>LEN(Table3[[#This Row],[Sequence]])</f>
        <v>0</v>
      </c>
    </row>
    <row r="396" spans="1:7" x14ac:dyDescent="0.55000000000000004">
      <c r="A396" s="2" t="s">
        <v>1466</v>
      </c>
      <c r="C396" s="202" t="str">
        <f t="shared" si="10"/>
        <v xml:space="preserve">E71 </v>
      </c>
      <c r="D396" s="10"/>
      <c r="G396" s="1">
        <f>LEN(Table3[[#This Row],[Sequence]])</f>
        <v>0</v>
      </c>
    </row>
    <row r="397" spans="1:7" x14ac:dyDescent="0.55000000000000004">
      <c r="A397" s="2" t="s">
        <v>1467</v>
      </c>
      <c r="C397" s="202" t="str">
        <f t="shared" si="10"/>
        <v xml:space="preserve">E72 </v>
      </c>
      <c r="D397" s="10"/>
      <c r="G397" s="1">
        <f>LEN(Table3[[#This Row],[Sequence]])</f>
        <v>0</v>
      </c>
    </row>
    <row r="398" spans="1:7" x14ac:dyDescent="0.55000000000000004">
      <c r="A398" s="2" t="s">
        <v>1468</v>
      </c>
      <c r="C398" s="202" t="str">
        <f t="shared" si="10"/>
        <v xml:space="preserve">E73 </v>
      </c>
      <c r="D398" s="10"/>
      <c r="G398" s="1">
        <f>LEN(Table3[[#This Row],[Sequence]])</f>
        <v>0</v>
      </c>
    </row>
    <row r="399" spans="1:7" x14ac:dyDescent="0.55000000000000004">
      <c r="A399" s="2" t="s">
        <v>1469</v>
      </c>
      <c r="C399" s="202" t="str">
        <f t="shared" si="10"/>
        <v xml:space="preserve">E74 </v>
      </c>
      <c r="D399" s="10"/>
      <c r="G399" s="1">
        <f>LEN(Table3[[#This Row],[Sequence]])</f>
        <v>0</v>
      </c>
    </row>
    <row r="400" spans="1:7" x14ac:dyDescent="0.55000000000000004">
      <c r="A400" s="2" t="s">
        <v>1470</v>
      </c>
      <c r="C400" s="202" t="str">
        <f t="shared" si="10"/>
        <v xml:space="preserve">E75 </v>
      </c>
      <c r="D400" s="10"/>
      <c r="G400" s="1">
        <f>LEN(Table3[[#This Row],[Sequence]])</f>
        <v>0</v>
      </c>
    </row>
    <row r="401" spans="1:7" x14ac:dyDescent="0.55000000000000004">
      <c r="A401" s="2" t="s">
        <v>1471</v>
      </c>
      <c r="C401" s="202" t="str">
        <f t="shared" si="10"/>
        <v xml:space="preserve">E76 </v>
      </c>
      <c r="D401" s="10"/>
      <c r="G401" s="1">
        <f>LEN(Table3[[#This Row],[Sequence]])</f>
        <v>0</v>
      </c>
    </row>
    <row r="402" spans="1:7" x14ac:dyDescent="0.55000000000000004">
      <c r="A402" s="2" t="s">
        <v>1472</v>
      </c>
      <c r="C402" s="202" t="str">
        <f t="shared" si="10"/>
        <v xml:space="preserve">E77 </v>
      </c>
      <c r="D402" s="10"/>
      <c r="G402" s="1">
        <f>LEN(Table3[[#This Row],[Sequence]])</f>
        <v>0</v>
      </c>
    </row>
    <row r="403" spans="1:7" x14ac:dyDescent="0.55000000000000004">
      <c r="A403" s="2" t="s">
        <v>1473</v>
      </c>
      <c r="C403" s="202" t="str">
        <f t="shared" si="10"/>
        <v xml:space="preserve">E78 </v>
      </c>
      <c r="D403" s="10"/>
      <c r="G403" s="1">
        <f>LEN(Table3[[#This Row],[Sequence]])</f>
        <v>0</v>
      </c>
    </row>
    <row r="404" spans="1:7" x14ac:dyDescent="0.55000000000000004">
      <c r="A404" s="2" t="s">
        <v>1474</v>
      </c>
      <c r="C404" s="202" t="str">
        <f t="shared" si="10"/>
        <v xml:space="preserve">E79 </v>
      </c>
      <c r="D404" s="10"/>
      <c r="G404" s="1">
        <f>LEN(Table3[[#This Row],[Sequence]])</f>
        <v>0</v>
      </c>
    </row>
    <row r="405" spans="1:7" x14ac:dyDescent="0.55000000000000004">
      <c r="A405" s="2" t="s">
        <v>1475</v>
      </c>
      <c r="C405" s="202" t="str">
        <f t="shared" si="10"/>
        <v xml:space="preserve">E80 </v>
      </c>
      <c r="D405" s="10"/>
      <c r="G405" s="1">
        <f>LEN(Table3[[#This Row],[Sequence]])</f>
        <v>0</v>
      </c>
    </row>
    <row r="406" spans="1:7" x14ac:dyDescent="0.55000000000000004">
      <c r="A406" s="2" t="s">
        <v>1476</v>
      </c>
      <c r="C406" s="202" t="str">
        <f t="shared" si="10"/>
        <v xml:space="preserve">E81 </v>
      </c>
      <c r="D406" s="10"/>
      <c r="G406" s="1">
        <f>LEN(Table3[[#This Row],[Sequence]])</f>
        <v>0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published="0" codeName="Sheet4">
    <tabColor theme="4"/>
  </sheetPr>
  <dimension ref="A1:S386"/>
  <sheetViews>
    <sheetView topLeftCell="A351" zoomScaleNormal="100" workbookViewId="0">
      <selection activeCell="F374" sqref="F374"/>
    </sheetView>
  </sheetViews>
  <sheetFormatPr defaultColWidth="8.89453125" defaultRowHeight="14.4" x14ac:dyDescent="0.55000000000000004"/>
  <cols>
    <col min="1" max="1" width="16.1015625" style="19" customWidth="1"/>
    <col min="2" max="2" width="8.89453125" style="19"/>
    <col min="3" max="3" width="46.1015625" style="19" customWidth="1"/>
    <col min="4" max="5" width="8.89453125" style="19"/>
    <col min="6" max="6" width="12.20703125" style="19" customWidth="1"/>
    <col min="7" max="7" width="8.89453125" style="19"/>
    <col min="8" max="8" width="14.5234375" style="19" customWidth="1"/>
    <col min="9" max="9" width="9.41796875" style="19" customWidth="1"/>
    <col min="10" max="10" width="8.89453125" style="19"/>
    <col min="11" max="11" width="16.1015625" style="19" customWidth="1"/>
    <col min="12" max="12" width="8.89453125" style="19"/>
    <col min="13" max="13" width="46.1015625" style="19" customWidth="1"/>
    <col min="14" max="15" width="8.89453125" style="19"/>
    <col min="16" max="16" width="12.20703125" style="19" customWidth="1"/>
    <col min="17" max="17" width="8.89453125" style="19"/>
    <col min="18" max="18" width="14.5234375" style="19" customWidth="1"/>
    <col min="19" max="19" width="9.41796875" style="19" customWidth="1"/>
    <col min="20" max="16384" width="8.89453125" style="19"/>
  </cols>
  <sheetData>
    <row r="1" spans="1:19" x14ac:dyDescent="0.55000000000000004">
      <c r="A1" s="19" t="s">
        <v>10</v>
      </c>
      <c r="B1" s="19" t="s">
        <v>410</v>
      </c>
      <c r="C1" s="19" t="s">
        <v>5</v>
      </c>
      <c r="D1" s="19" t="s">
        <v>411</v>
      </c>
      <c r="E1" s="19" t="s">
        <v>412</v>
      </c>
      <c r="F1" s="19" t="s">
        <v>413</v>
      </c>
      <c r="G1" s="19" t="s">
        <v>414</v>
      </c>
      <c r="H1" s="19" t="s">
        <v>415</v>
      </c>
      <c r="I1" s="19" t="s">
        <v>416</v>
      </c>
    </row>
    <row r="2" spans="1:19" x14ac:dyDescent="0.55000000000000004">
      <c r="A2" s="19" t="str">
        <f>Table3[[#This Row],[Name]]</f>
        <v>A01 (2) P1 Pxyl/tet</v>
      </c>
      <c r="C2" s="19" t="str">
        <f>Table3[[#This Row],[Sequence]]</f>
        <v>cgatCGTCTCactcgCTTCTGTGTGGATCCCTATCAGTGATAGAGATTCA</v>
      </c>
      <c r="E2" s="19">
        <v>2.5000000000000001E-2</v>
      </c>
      <c r="F2" s="19" t="s">
        <v>418</v>
      </c>
      <c r="G2" s="19" t="s">
        <v>417</v>
      </c>
      <c r="I2" s="19">
        <v>1</v>
      </c>
      <c r="K2" s="19" t="s">
        <v>1547</v>
      </c>
      <c r="M2" s="19" t="s">
        <v>1546</v>
      </c>
      <c r="O2" s="19">
        <v>2.5000000000000001E-2</v>
      </c>
      <c r="P2" s="19" t="s">
        <v>418</v>
      </c>
      <c r="Q2" s="19" t="s">
        <v>417</v>
      </c>
      <c r="S2" s="19">
        <v>1</v>
      </c>
    </row>
    <row r="3" spans="1:19" x14ac:dyDescent="0.55000000000000004">
      <c r="A3" s="19" t="str">
        <f>Table3[[#This Row],[Name]]</f>
        <v>A02 (2) P2 Pxyl/tet</v>
      </c>
      <c r="C3" s="19" t="str">
        <f>Table3[[#This Row],[Sequence]]</f>
        <v>atgcCGTCTCactctGTCGaTCTCTATCACTGATAGGGATGTGCTCAG</v>
      </c>
      <c r="E3" s="19">
        <v>2.5000000000000001E-2</v>
      </c>
      <c r="F3" s="19" t="s">
        <v>418</v>
      </c>
      <c r="G3" s="19" t="s">
        <v>417</v>
      </c>
      <c r="I3" s="19">
        <v>1</v>
      </c>
      <c r="K3" s="19" t="s">
        <v>1554</v>
      </c>
      <c r="M3" s="19" t="s">
        <v>1549</v>
      </c>
      <c r="O3" s="19">
        <v>2.5000000000000001E-2</v>
      </c>
      <c r="P3" s="19" t="s">
        <v>418</v>
      </c>
      <c r="Q3" s="19" t="s">
        <v>417</v>
      </c>
      <c r="S3" s="19">
        <v>1</v>
      </c>
    </row>
    <row r="4" spans="1:19" x14ac:dyDescent="0.55000000000000004">
      <c r="A4" s="19" t="str">
        <f>Table3[[#This Row],[Name]]</f>
        <v>A03 (2) P1 Plac/ara-1</v>
      </c>
      <c r="C4" s="19" t="str">
        <f>Table3[[#This Row],[Sequence]]</f>
        <v>gcatCGTCTCactcgCTTCacgtctgtgtggaattgtg</v>
      </c>
      <c r="E4" s="19">
        <v>2.5000000000000001E-2</v>
      </c>
      <c r="F4" s="19" t="s">
        <v>418</v>
      </c>
      <c r="G4" s="19" t="s">
        <v>417</v>
      </c>
      <c r="I4" s="19">
        <v>1</v>
      </c>
      <c r="K4" s="19" t="s">
        <v>1555</v>
      </c>
      <c r="M4" s="19" t="s">
        <v>1553</v>
      </c>
      <c r="O4" s="19">
        <v>2.5000000000000001E-2</v>
      </c>
      <c r="P4" s="19" t="s">
        <v>418</v>
      </c>
      <c r="Q4" s="19" t="s">
        <v>417</v>
      </c>
      <c r="S4" s="19">
        <v>1</v>
      </c>
    </row>
    <row r="5" spans="1:19" x14ac:dyDescent="0.55000000000000004">
      <c r="A5" s="19" t="str">
        <f>Table3[[#This Row],[Name]]</f>
        <v>A04 (2) P2 Plac/ara-1</v>
      </c>
      <c r="C5" s="19" t="str">
        <f>Table3[[#This Row],[Sequence]]</f>
        <v>atgcCGTCTCactctGTCGtctgtgtgaaattgttatccgctcacaattg</v>
      </c>
      <c r="E5" s="19">
        <v>2.5000000000000001E-2</v>
      </c>
      <c r="F5" s="19" t="s">
        <v>418</v>
      </c>
      <c r="G5" s="19" t="s">
        <v>417</v>
      </c>
      <c r="I5" s="19">
        <v>1</v>
      </c>
      <c r="K5" s="19" t="s">
        <v>1556</v>
      </c>
      <c r="M5" s="19" t="s">
        <v>1551</v>
      </c>
      <c r="O5" s="19">
        <v>2.5000000000000001E-2</v>
      </c>
      <c r="P5" s="19" t="s">
        <v>418</v>
      </c>
      <c r="Q5" s="19" t="s">
        <v>417</v>
      </c>
      <c r="S5" s="19">
        <v>1</v>
      </c>
    </row>
    <row r="6" spans="1:19" x14ac:dyDescent="0.55000000000000004">
      <c r="A6" s="19" t="str">
        <f>Table3[[#This Row],[Name]]</f>
        <v>A05 (3) P1 BCD2</v>
      </c>
      <c r="C6" s="19" t="str">
        <f>Table3[[#This Row],[Sequence]]</f>
        <v>gcatCGTCTCactcgCGACgggcccaagttcactt</v>
      </c>
      <c r="E6" s="19">
        <v>2.5000000000000001E-2</v>
      </c>
      <c r="F6" s="19" t="s">
        <v>418</v>
      </c>
      <c r="G6" s="19" t="s">
        <v>417</v>
      </c>
      <c r="I6" s="19">
        <v>1</v>
      </c>
      <c r="K6" s="19" t="s">
        <v>1561</v>
      </c>
      <c r="M6" s="19" t="s">
        <v>1559</v>
      </c>
      <c r="O6" s="19">
        <v>2.5000000000000001E-2</v>
      </c>
      <c r="P6" s="19" t="s">
        <v>418</v>
      </c>
      <c r="Q6" s="19" t="s">
        <v>417</v>
      </c>
      <c r="S6" s="19">
        <v>1</v>
      </c>
    </row>
    <row r="7" spans="1:19" x14ac:dyDescent="0.55000000000000004">
      <c r="A7" s="19" t="str">
        <f>Table3[[#This Row],[Name]]</f>
        <v>A06 (3) P2 BCD2</v>
      </c>
      <c r="C7" s="19" t="str">
        <f>Table3[[#This Row],[Sequence]]</f>
        <v>atgcCGTCTCactctCATTagaaaacctccttagcatg</v>
      </c>
      <c r="E7" s="19">
        <v>2.5000000000000001E-2</v>
      </c>
      <c r="F7" s="19" t="s">
        <v>418</v>
      </c>
      <c r="G7" s="19" t="s">
        <v>417</v>
      </c>
      <c r="I7" s="19">
        <v>1</v>
      </c>
      <c r="K7" s="19" t="s">
        <v>1562</v>
      </c>
      <c r="M7" s="19" t="s">
        <v>1560</v>
      </c>
      <c r="O7" s="19">
        <v>2.5000000000000001E-2</v>
      </c>
      <c r="P7" s="19" t="s">
        <v>418</v>
      </c>
      <c r="Q7" s="19" t="s">
        <v>417</v>
      </c>
      <c r="S7" s="19">
        <v>1</v>
      </c>
    </row>
    <row r="8" spans="1:19" x14ac:dyDescent="0.55000000000000004">
      <c r="A8" s="19" t="str">
        <f>Table3[[#This Row],[Name]]</f>
        <v>A07 (3) P2 BCD1</v>
      </c>
      <c r="C8" s="19" t="str">
        <f>Table3[[#This Row],[Sequence]]</f>
        <v>atgcCGTCTCactctCATTagaaagtctcctgtgcatgattaagatgtttcagtac</v>
      </c>
      <c r="E8" s="19">
        <v>2.5000000000000001E-2</v>
      </c>
      <c r="F8" s="19" t="s">
        <v>418</v>
      </c>
      <c r="G8" s="19" t="s">
        <v>417</v>
      </c>
      <c r="I8" s="19">
        <v>1</v>
      </c>
    </row>
    <row r="9" spans="1:19" x14ac:dyDescent="0.55000000000000004">
      <c r="A9" s="19" t="str">
        <f>Table3[[#This Row],[Name]]</f>
        <v>A08 (3) P1 BBa_B0034</v>
      </c>
      <c r="C9" s="19" t="str">
        <f>Table3[[#This Row],[Sequence]]</f>
        <v>ctcgcgacCTAGTgAAAGAGGAGAAAtactaAATG</v>
      </c>
      <c r="E9" s="19">
        <v>2.5000000000000001E-2</v>
      </c>
      <c r="F9" s="19" t="s">
        <v>418</v>
      </c>
      <c r="G9" s="19" t="s">
        <v>417</v>
      </c>
      <c r="I9" s="19">
        <v>1</v>
      </c>
    </row>
    <row r="10" spans="1:19" x14ac:dyDescent="0.55000000000000004">
      <c r="A10" s="19" t="str">
        <f>Table3[[#This Row],[Name]]</f>
        <v>A09 (3) P2 BBa_B0034</v>
      </c>
      <c r="C10" s="19" t="str">
        <f>Table3[[#This Row],[Sequence]]</f>
        <v>ctctCATTtagtaTTTCTCCTCTTTcactagGTCG</v>
      </c>
      <c r="E10" s="19">
        <v>2.5000000000000001E-2</v>
      </c>
      <c r="F10" s="19" t="s">
        <v>418</v>
      </c>
      <c r="G10" s="19" t="s">
        <v>417</v>
      </c>
      <c r="I10" s="19">
        <v>1</v>
      </c>
    </row>
    <row r="11" spans="1:19" x14ac:dyDescent="0.55000000000000004">
      <c r="A11" s="19" t="str">
        <f>Table3[[#This Row],[Name]]</f>
        <v>A10 (4ab) P1 Ec.xylR</v>
      </c>
      <c r="C11" s="19" t="str">
        <f>Table3[[#This Row],[Sequence]]</f>
        <v>gcatCGTCTCactcgAATGTTTACTAAACGTCACCGCA</v>
      </c>
      <c r="E11" s="19">
        <v>2.5000000000000001E-2</v>
      </c>
      <c r="F11" s="19" t="s">
        <v>418</v>
      </c>
      <c r="G11" s="19" t="s">
        <v>417</v>
      </c>
      <c r="I11" s="19">
        <v>1</v>
      </c>
    </row>
    <row r="12" spans="1:19" x14ac:dyDescent="0.55000000000000004">
      <c r="A12" s="19" t="str">
        <f>Table3[[#This Row],[Name]]</f>
        <v>A11 (4ab) P2 Ec.xylR</v>
      </c>
      <c r="C12" s="19" t="str">
        <f>Table3[[#This Row],[Sequence]]</f>
        <v>atgcCGTCTCactctAGATccCAACATGACCTCGCTATTTACATCG</v>
      </c>
      <c r="E12" s="19">
        <v>2.5000000000000001E-2</v>
      </c>
      <c r="F12" s="19" t="s">
        <v>418</v>
      </c>
      <c r="G12" s="19" t="s">
        <v>417</v>
      </c>
      <c r="I12" s="19">
        <v>1</v>
      </c>
    </row>
    <row r="13" spans="1:19" x14ac:dyDescent="0.55000000000000004">
      <c r="A13" s="19" t="str">
        <f>Table3[[#This Row],[Name]]</f>
        <v>A12 (4ab) P1 λ.tetR</v>
      </c>
      <c r="C13" s="19" t="str">
        <f>Table3[[#This Row],[Sequence]]</f>
        <v>gcatCGTCTCactcgAATGTCCAGATTAGATAAAAGTAAAGTGA</v>
      </c>
      <c r="E13" s="19">
        <v>2.5000000000000001E-2</v>
      </c>
      <c r="F13" s="19" t="s">
        <v>418</v>
      </c>
      <c r="G13" s="19" t="s">
        <v>417</v>
      </c>
      <c r="I13" s="19">
        <v>1</v>
      </c>
    </row>
    <row r="14" spans="1:19" x14ac:dyDescent="0.55000000000000004">
      <c r="A14" s="19" t="str">
        <f>Table3[[#This Row],[Name]]</f>
        <v>A13 (4ab) P2 λ.tetR</v>
      </c>
      <c r="C14" s="19" t="str">
        <f>Table3[[#This Row],[Sequence]]</f>
        <v>atgcCGTCTCactctAGATccGGACCCACTTTCACATTTAA</v>
      </c>
      <c r="E14" s="19">
        <v>2.5000000000000001E-2</v>
      </c>
      <c r="F14" s="19" t="s">
        <v>418</v>
      </c>
      <c r="G14" s="19" t="s">
        <v>417</v>
      </c>
      <c r="I14" s="19">
        <v>1</v>
      </c>
    </row>
    <row r="15" spans="1:19" x14ac:dyDescent="0.55000000000000004">
      <c r="A15" s="19" t="str">
        <f>Table3[[#This Row],[Name]]</f>
        <v>A14 (4ab) P1 Ec.lacI</v>
      </c>
      <c r="C15" s="19" t="str">
        <f>Table3[[#This Row],[Sequence]]</f>
        <v>gcatCGTCTCactcgAATGAAACCAGTAACGTTATACG</v>
      </c>
      <c r="E15" s="19">
        <v>2.5000000000000001E-2</v>
      </c>
      <c r="F15" s="19" t="s">
        <v>418</v>
      </c>
      <c r="G15" s="19" t="s">
        <v>417</v>
      </c>
      <c r="I15" s="19">
        <v>1</v>
      </c>
    </row>
    <row r="16" spans="1:19" x14ac:dyDescent="0.55000000000000004">
      <c r="A16" s="19" t="str">
        <f>Table3[[#This Row],[Name]]</f>
        <v>A15 (4ab) P2 Ec.lacI</v>
      </c>
      <c r="C16" s="19" t="str">
        <f>Table3[[#This Row],[Sequence]]</f>
        <v>atgcCGTCTCaGAGACtGGCAACAGCTGATTGC</v>
      </c>
      <c r="E16" s="19">
        <v>2.5000000000000001E-2</v>
      </c>
      <c r="F16" s="19" t="s">
        <v>418</v>
      </c>
      <c r="G16" s="19" t="s">
        <v>417</v>
      </c>
      <c r="I16" s="19">
        <v>1</v>
      </c>
    </row>
    <row r="17" spans="1:9" x14ac:dyDescent="0.55000000000000004">
      <c r="A17" s="19" t="str">
        <f>Table3[[#This Row],[Name]]</f>
        <v>A16 (4ab) P3 Ec.lacI</v>
      </c>
      <c r="C17" s="19" t="str">
        <f>Table3[[#This Row],[Sequence]]</f>
        <v>gcatCGTCTCaTCTCACTGGTGAAAAGAAAAAC</v>
      </c>
      <c r="E17" s="19">
        <v>2.5000000000000001E-2</v>
      </c>
      <c r="F17" s="19" t="s">
        <v>418</v>
      </c>
      <c r="G17" s="19" t="s">
        <v>417</v>
      </c>
      <c r="I17" s="19">
        <v>1</v>
      </c>
    </row>
    <row r="18" spans="1:9" x14ac:dyDescent="0.55000000000000004">
      <c r="A18" s="19" t="str">
        <f>Table3[[#This Row],[Name]]</f>
        <v>A17 (4ab) P4 Ec.lacI</v>
      </c>
      <c r="C18" s="19" t="str">
        <f>Table3[[#This Row],[Sequence]]</f>
        <v>atgcCGTCTCactctAGATccCTGCCCGCTTTCCAGTCG</v>
      </c>
      <c r="E18" s="19">
        <v>2.5000000000000001E-2</v>
      </c>
      <c r="F18" s="19" t="s">
        <v>418</v>
      </c>
      <c r="G18" s="19" t="s">
        <v>417</v>
      </c>
      <c r="I18" s="19">
        <v>1</v>
      </c>
    </row>
    <row r="19" spans="1:9" x14ac:dyDescent="0.55000000000000004">
      <c r="A19" s="19" t="str">
        <f>Table3[[#This Row],[Name]]</f>
        <v>A18 (4ab) P1 Ec.araC</v>
      </c>
      <c r="C19" s="19" t="str">
        <f>Table3[[#This Row],[Sequence]]</f>
        <v>gcatCGTCTCactcgAATGGCTGAAGCGCAAAATG</v>
      </c>
      <c r="E19" s="19">
        <v>2.5000000000000001E-2</v>
      </c>
      <c r="F19" s="19" t="s">
        <v>418</v>
      </c>
      <c r="G19" s="19" t="s">
        <v>417</v>
      </c>
      <c r="I19" s="19">
        <v>1</v>
      </c>
    </row>
    <row r="20" spans="1:9" x14ac:dyDescent="0.55000000000000004">
      <c r="A20" s="19" t="str">
        <f>Table3[[#This Row],[Name]]</f>
        <v>A19 (4ab) P2 Ec.araC</v>
      </c>
      <c r="C20" s="19" t="str">
        <f>Table3[[#This Row],[Sequence]]</f>
        <v>atgcCGTCTCactctAGATccTGACAACTTGACGGCTACA</v>
      </c>
      <c r="E20" s="19">
        <v>2.5000000000000001E-2</v>
      </c>
      <c r="F20" s="19" t="s">
        <v>418</v>
      </c>
      <c r="G20" s="19" t="s">
        <v>417</v>
      </c>
      <c r="I20" s="19">
        <v>1</v>
      </c>
    </row>
    <row r="21" spans="1:9" x14ac:dyDescent="0.55000000000000004">
      <c r="A21" s="19" t="str">
        <f>Table3[[#This Row],[Name]]</f>
        <v>A20 (4c) ssrA.LAA O1</v>
      </c>
      <c r="C21" s="19" t="str">
        <f>Table3[[#This Row],[Sequence]]</f>
        <v>ctcgATCTgcagcgaacgacgaaaattacgcccttgcagcgtaataaTGGC</v>
      </c>
      <c r="E21" s="19">
        <v>2.5000000000000001E-2</v>
      </c>
      <c r="F21" s="19" t="s">
        <v>418</v>
      </c>
      <c r="G21" s="19" t="s">
        <v>417</v>
      </c>
      <c r="I21" s="19">
        <v>1</v>
      </c>
    </row>
    <row r="22" spans="1:9" x14ac:dyDescent="0.55000000000000004">
      <c r="A22" s="19" t="str">
        <f>Table3[[#This Row],[Name]]</f>
        <v>A21 (4c) ssrA.LAA O2</v>
      </c>
      <c r="C22" s="19" t="str">
        <f>Table3[[#This Row],[Sequence]]</f>
        <v>ctctGCCAttattacgctgcaagggcgtaattttcgtcgttcgctgcAGAT</v>
      </c>
      <c r="E22" s="19">
        <v>2.5000000000000001E-2</v>
      </c>
      <c r="F22" s="19" t="s">
        <v>418</v>
      </c>
      <c r="G22" s="19" t="s">
        <v>417</v>
      </c>
      <c r="I22" s="19">
        <v>1</v>
      </c>
    </row>
    <row r="23" spans="1:9" x14ac:dyDescent="0.55000000000000004">
      <c r="A23" s="19" t="str">
        <f>Table3[[#This Row],[Name]]</f>
        <v>A22 (2-5) P1 spacer</v>
      </c>
      <c r="C23" s="19" t="str">
        <f>Table3[[#This Row],[Sequence]]</f>
        <v>gcatCGTCTCactcgCTTCTTAACTTGCTTCCTAGTGAAACCG</v>
      </c>
      <c r="E23" s="19">
        <v>2.5000000000000001E-2</v>
      </c>
      <c r="F23" s="19" t="s">
        <v>418</v>
      </c>
      <c r="G23" s="19" t="s">
        <v>417</v>
      </c>
      <c r="I23" s="19">
        <v>1</v>
      </c>
    </row>
    <row r="24" spans="1:9" x14ac:dyDescent="0.55000000000000004">
      <c r="A24" s="19" t="str">
        <f>Table3[[#This Row],[Name]]</f>
        <v>A23 (2-5) P2 spacer</v>
      </c>
      <c r="C24" s="19" t="str">
        <f>Table3[[#This Row],[Sequence]]</f>
        <v>atgcCGTCTCactctCAGCaagcgcgtctgaatagg</v>
      </c>
      <c r="E24" s="19">
        <v>2.5000000000000001E-2</v>
      </c>
      <c r="F24" s="19" t="s">
        <v>418</v>
      </c>
      <c r="G24" s="19" t="s">
        <v>417</v>
      </c>
      <c r="I24" s="19">
        <v>1</v>
      </c>
    </row>
    <row r="25" spans="1:9" x14ac:dyDescent="0.55000000000000004">
      <c r="A25" s="19" t="str">
        <f>Table3[[#This Row],[Name]]</f>
        <v>A24 (7) P1 ChlR.r</v>
      </c>
      <c r="C25" s="19" t="str">
        <f>Table3[[#This Row],[Sequence]]</f>
        <v>gcatCGTCTCactcgTACAaccaataaaaaacgcccg</v>
      </c>
      <c r="E25" s="19">
        <v>2.5000000000000001E-2</v>
      </c>
      <c r="F25" s="19" t="s">
        <v>418</v>
      </c>
      <c r="G25" s="19" t="s">
        <v>417</v>
      </c>
      <c r="I25" s="19">
        <v>1</v>
      </c>
    </row>
    <row r="26" spans="1:9" x14ac:dyDescent="0.55000000000000004">
      <c r="A26" s="19" t="str">
        <f>Table3[[#This Row],[Name]]</f>
        <v>A25 (7) P2 ChlR.r</v>
      </c>
      <c r="C26" s="19" t="str">
        <f>Table3[[#This Row],[Sequence]]</f>
        <v>atgcCGTCTCactctACTCttgatcgggcacgtaag</v>
      </c>
      <c r="E26" s="19">
        <v>2.5000000000000001E-2</v>
      </c>
      <c r="F26" s="19" t="s">
        <v>418</v>
      </c>
      <c r="G26" s="19" t="s">
        <v>417</v>
      </c>
      <c r="I26" s="19">
        <v>1</v>
      </c>
    </row>
    <row r="27" spans="1:9" x14ac:dyDescent="0.55000000000000004">
      <c r="A27" s="19" t="str">
        <f>Table3[[#This Row],[Name]]</f>
        <v>A26 (7) P1 AmpR.r</v>
      </c>
      <c r="C27" s="19" t="str">
        <f>Table3[[#This Row],[Sequence]]</f>
        <v>gcatCGTCTCactcgTACAgattatcaaaaaggatcttcacc</v>
      </c>
      <c r="E27" s="19">
        <v>2.5000000000000001E-2</v>
      </c>
      <c r="F27" s="19" t="s">
        <v>418</v>
      </c>
      <c r="G27" s="19" t="s">
        <v>417</v>
      </c>
      <c r="I27" s="19">
        <v>1</v>
      </c>
    </row>
    <row r="28" spans="1:9" x14ac:dyDescent="0.55000000000000004">
      <c r="A28" s="19" t="str">
        <f>Table3[[#This Row],[Name]]</f>
        <v>A27 (7) P2 AmpR.r</v>
      </c>
      <c r="C28" s="19" t="str">
        <f>Table3[[#This Row],[Sequence]]</f>
        <v>atgcCGTCTCactctACTCcaggtggcacttttcg</v>
      </c>
      <c r="E28" s="19">
        <v>2.5000000000000001E-2</v>
      </c>
      <c r="F28" s="19" t="s">
        <v>418</v>
      </c>
      <c r="G28" s="19" t="s">
        <v>417</v>
      </c>
      <c r="I28" s="19">
        <v>1</v>
      </c>
    </row>
    <row r="29" spans="1:9" x14ac:dyDescent="0.55000000000000004">
      <c r="A29" s="19" t="str">
        <f>Table3[[#This Row],[Name]]</f>
        <v>A28 (7) P1 KanR.r</v>
      </c>
      <c r="C29" s="19" t="str">
        <f>Table3[[#This Row],[Sequence]]</f>
        <v>gcatCGTCTCactcgTACAgtgttacaaccaattaaccaattc</v>
      </c>
      <c r="E29" s="19">
        <v>2.5000000000000001E-2</v>
      </c>
      <c r="F29" s="19" t="s">
        <v>418</v>
      </c>
      <c r="G29" s="19" t="s">
        <v>417</v>
      </c>
      <c r="I29" s="19">
        <v>1</v>
      </c>
    </row>
    <row r="30" spans="1:9" x14ac:dyDescent="0.55000000000000004">
      <c r="A30" s="19" t="str">
        <f>Table3[[#This Row],[Name]]</f>
        <v>A29 (7) P2 KanR.r</v>
      </c>
      <c r="C30" s="19" t="str">
        <f>Table3[[#This Row],[Sequence]]</f>
        <v>atgcCGTCTCactctACTCctgatccttcaactcagca</v>
      </c>
      <c r="E30" s="19">
        <v>2.5000000000000001E-2</v>
      </c>
      <c r="F30" s="19" t="s">
        <v>418</v>
      </c>
      <c r="G30" s="19" t="s">
        <v>417</v>
      </c>
      <c r="I30" s="19">
        <v>1</v>
      </c>
    </row>
    <row r="31" spans="1:9" x14ac:dyDescent="0.55000000000000004">
      <c r="A31" s="19" t="str">
        <f>Table3[[#This Row],[Name]]</f>
        <v>A30 (9) P1 ColE1_pUC</v>
      </c>
      <c r="C31" s="19" t="str">
        <f>Table3[[#This Row],[Sequence]]</f>
        <v>gcatCGTCTCactcgCCAAcccgtagaaaagatcaaagg</v>
      </c>
      <c r="E31" s="19">
        <v>2.5000000000000001E-2</v>
      </c>
      <c r="F31" s="19" t="s">
        <v>418</v>
      </c>
      <c r="G31" s="19" t="s">
        <v>417</v>
      </c>
      <c r="I31" s="19">
        <v>1</v>
      </c>
    </row>
    <row r="32" spans="1:9" x14ac:dyDescent="0.55000000000000004">
      <c r="A32" s="19" t="str">
        <f>Table3[[#This Row],[Name]]</f>
        <v>A31 (9) P2 ColE1_pUC</v>
      </c>
      <c r="C32" s="19" t="str">
        <f>Table3[[#This Row],[Sequence]]</f>
        <v>atgcCGTCTCactctCCGTatgtgagcaaaaggcca</v>
      </c>
      <c r="E32" s="19">
        <v>2.5000000000000001E-2</v>
      </c>
      <c r="F32" s="19" t="s">
        <v>418</v>
      </c>
      <c r="G32" s="19" t="s">
        <v>417</v>
      </c>
      <c r="I32" s="19">
        <v>1</v>
      </c>
    </row>
    <row r="33" spans="1:9" x14ac:dyDescent="0.55000000000000004">
      <c r="A33" s="19" t="str">
        <f>Table3[[#This Row],[Name]]</f>
        <v>A32 (9) P1 p15A</v>
      </c>
      <c r="C33" s="19" t="str">
        <f>Table3[[#This Row],[Sequence]]</f>
        <v>gcatCGTCTCactcgCCAATTAATAAGATGATCTTCTTGAGATCG</v>
      </c>
      <c r="E33" s="19">
        <v>2.5000000000000001E-2</v>
      </c>
      <c r="F33" s="19" t="s">
        <v>418</v>
      </c>
      <c r="G33" s="19" t="s">
        <v>417</v>
      </c>
      <c r="I33" s="19">
        <v>1</v>
      </c>
    </row>
    <row r="34" spans="1:9" x14ac:dyDescent="0.55000000000000004">
      <c r="A34" s="19" t="str">
        <f>Table3[[#This Row],[Name]]</f>
        <v>A33 (9) P2 p15A</v>
      </c>
      <c r="C34" s="19" t="str">
        <f>Table3[[#This Row],[Sequence]]</f>
        <v>atgcCGTCTCactctCCGTTAGCGGAGTGTATACTGGCT</v>
      </c>
      <c r="E34" s="19">
        <v>2.5000000000000001E-2</v>
      </c>
      <c r="F34" s="19" t="s">
        <v>418</v>
      </c>
      <c r="G34" s="19" t="s">
        <v>417</v>
      </c>
      <c r="I34" s="19">
        <v>1</v>
      </c>
    </row>
    <row r="35" spans="1:9" x14ac:dyDescent="0.55000000000000004">
      <c r="A35" s="19" t="str">
        <f>Table3[[#This Row],[Name]]</f>
        <v>A34 (2345pr) P1 sfgfp,hc</v>
      </c>
      <c r="C35" s="19" t="str">
        <f>Table3[[#This Row],[Sequence]]</f>
        <v>agtaCTCGtgagacgTTGACGGCTAGCTCAGTC</v>
      </c>
      <c r="E35" s="19">
        <v>2.5000000000000001E-2</v>
      </c>
      <c r="F35" s="19" t="s">
        <v>418</v>
      </c>
      <c r="G35" s="19" t="s">
        <v>417</v>
      </c>
      <c r="I35" s="19">
        <v>1</v>
      </c>
    </row>
    <row r="36" spans="1:9" x14ac:dyDescent="0.55000000000000004">
      <c r="A36" s="19" t="str">
        <f>Table3[[#This Row],[Name]]</f>
        <v>A35 (2345pr) P2 sfgfp,hc</v>
      </c>
      <c r="C36" s="19" t="str">
        <f>Table3[[#This Row],[Sequence]]</f>
        <v>ctagCTCTtGAGACGTTaTTACTTATACAGCTCGTCCATAC</v>
      </c>
      <c r="E36" s="19">
        <v>2.5000000000000001E-2</v>
      </c>
      <c r="F36" s="19" t="s">
        <v>418</v>
      </c>
      <c r="G36" s="19" t="s">
        <v>417</v>
      </c>
      <c r="I36" s="19">
        <v>1</v>
      </c>
    </row>
    <row r="37" spans="1:9" x14ac:dyDescent="0.55000000000000004">
      <c r="A37" s="19" t="str">
        <f>Table3[[#This Row],[Name]]</f>
        <v>A36 (2345pr) P1 sfgfp,hc-rrfBt1</v>
      </c>
      <c r="C37" s="19" t="str">
        <f>Table3[[#This Row],[Sequence]]</f>
        <v>gcatCTCGtGAGACGtatCATCGCttgacggctagctcagtc</v>
      </c>
      <c r="E37" s="19">
        <v>2.5000000000000001E-2</v>
      </c>
      <c r="F37" s="19" t="s">
        <v>418</v>
      </c>
      <c r="G37" s="19" t="s">
        <v>417</v>
      </c>
      <c r="I37" s="19">
        <v>1</v>
      </c>
    </row>
    <row r="38" spans="1:9" x14ac:dyDescent="0.55000000000000004">
      <c r="A38" s="19" t="str">
        <f>Table3[[#This Row],[Name]]</f>
        <v>A37 (2345pr) P2 sfgfp,hc-rrfBt1</v>
      </c>
      <c r="C38" s="19" t="str">
        <f>Table3[[#This Row],[Sequence]]</f>
        <v>atgcCGTCTCaGttattacttatacagctcgtccatac</v>
      </c>
      <c r="E38" s="19">
        <v>2.5000000000000001E-2</v>
      </c>
      <c r="F38" s="19" t="s">
        <v>418</v>
      </c>
      <c r="G38" s="19" t="s">
        <v>417</v>
      </c>
      <c r="I38" s="19">
        <v>1</v>
      </c>
    </row>
    <row r="39" spans="1:9" x14ac:dyDescent="0.55000000000000004">
      <c r="A39" s="19" t="str">
        <f>Table3[[#This Row],[Name]]</f>
        <v>A38 (2345pr) P3 rrfBt1</v>
      </c>
      <c r="C39" s="19" t="str">
        <f>Table3[[#This Row],[Sequence]]</f>
        <v>GCATCGTCTCAtaaCCAGGCATCAAATAAAACGAAAGG</v>
      </c>
      <c r="E39" s="19">
        <v>2.5000000000000001E-2</v>
      </c>
      <c r="F39" s="19" t="s">
        <v>418</v>
      </c>
      <c r="G39" s="19" t="s">
        <v>417</v>
      </c>
      <c r="I39" s="19">
        <v>1</v>
      </c>
    </row>
    <row r="40" spans="1:9" x14ac:dyDescent="0.55000000000000004">
      <c r="A40" s="19" t="str">
        <f>Table3[[#This Row],[Name]]</f>
        <v>A39 (2345pr0) P4 rrfBt1</v>
      </c>
      <c r="C40" s="19" t="str">
        <f>Table3[[#This Row],[Sequence]]</f>
        <v>ctgaCTCTtGAGACGtatCATCGCgagagcgttcaccgac</v>
      </c>
      <c r="E40" s="19">
        <v>2.5000000000000001E-2</v>
      </c>
      <c r="F40" s="19" t="s">
        <v>418</v>
      </c>
      <c r="G40" s="19" t="s">
        <v>417</v>
      </c>
      <c r="I40" s="19">
        <v>1</v>
      </c>
    </row>
    <row r="41" spans="1:9" x14ac:dyDescent="0.55000000000000004">
      <c r="A41" s="19" t="str">
        <f>Table3[[#This Row],[Name]]</f>
        <v>A40 (1-6r0) sfgfp P1</v>
      </c>
      <c r="C41" s="19" t="str">
        <f>Table3[[#This Row],[Sequence]]</f>
        <v>cgatGGTCTCactcgACGGtGAGACGatacatcgcGAAAGTGAAACGTGATTTCATG</v>
      </c>
      <c r="E41" s="19">
        <v>2.5000000000000001E-2</v>
      </c>
      <c r="F41" s="19" t="s">
        <v>418</v>
      </c>
      <c r="G41" s="19" t="s">
        <v>417</v>
      </c>
      <c r="I41" s="19">
        <v>1</v>
      </c>
    </row>
    <row r="42" spans="1:9" x14ac:dyDescent="0.55000000000000004">
      <c r="A42" s="19" t="str">
        <f>Table3[[#This Row],[Name]]</f>
        <v>A41 (1-6r0) sfgfp P2</v>
      </c>
      <c r="C42" s="19" t="str">
        <f>Table3[[#This Row],[Sequence]]</f>
        <v>gcatGGTCTCactctTGTAtGAGACGTATCATCGCGA</v>
      </c>
      <c r="E42" s="19">
        <v>2.5000000000000001E-2</v>
      </c>
      <c r="F42" s="19" t="s">
        <v>418</v>
      </c>
      <c r="G42" s="19" t="s">
        <v>417</v>
      </c>
      <c r="I42" s="19">
        <v>1</v>
      </c>
    </row>
    <row r="43" spans="1:9" x14ac:dyDescent="0.55000000000000004">
      <c r="A43" s="19" t="str">
        <f>Table3[[#This Row],[Name]]</f>
        <v>A42 (1-6r1) sfgfp P1</v>
      </c>
      <c r="C43" s="19" t="str">
        <f>Table3[[#This Row],[Sequence]]</f>
        <v>atgcCGTCTCactcgACGGtGAGACCatacatcgcGAAAGTGAAACGTGATTTCATG</v>
      </c>
      <c r="E43" s="19">
        <v>2.5000000000000001E-2</v>
      </c>
      <c r="F43" s="19" t="s">
        <v>418</v>
      </c>
      <c r="G43" s="19" t="s">
        <v>417</v>
      </c>
      <c r="I43" s="19">
        <v>1</v>
      </c>
    </row>
    <row r="44" spans="1:9" x14ac:dyDescent="0.55000000000000004">
      <c r="A44" s="19" t="str">
        <f>Table3[[#This Row],[Name]]</f>
        <v>A43 (1-6r1) sfgfp P2</v>
      </c>
      <c r="C44" s="19" t="str">
        <f>Table3[[#This Row],[Sequence]]</f>
        <v>gcatCGTCTCactctTGTAtGAGACCTATCATCGCGA</v>
      </c>
      <c r="E44" s="19">
        <v>2.5000000000000001E-2</v>
      </c>
      <c r="F44" s="19" t="s">
        <v>418</v>
      </c>
      <c r="G44" s="19" t="s">
        <v>417</v>
      </c>
      <c r="I44" s="19">
        <v>1</v>
      </c>
    </row>
    <row r="45" spans="1:9" x14ac:dyDescent="0.55000000000000004">
      <c r="A45" s="19" t="str">
        <f>Table3[[#This Row],[Name]]</f>
        <v>A44 ChlR P1 part vector</v>
      </c>
      <c r="C45" s="19" t="str">
        <f>Table3[[#This Row],[Sequence]]</f>
        <v>gcatCGTCTCaTACAaccaataaaaaacgcccg</v>
      </c>
      <c r="E45" s="19">
        <v>2.5000000000000001E-2</v>
      </c>
      <c r="F45" s="19" t="s">
        <v>418</v>
      </c>
      <c r="G45" s="19" t="s">
        <v>417</v>
      </c>
      <c r="I45" s="19">
        <v>1</v>
      </c>
    </row>
    <row r="46" spans="1:9" x14ac:dyDescent="0.55000000000000004">
      <c r="A46" s="19" t="str">
        <f>Table3[[#This Row],[Name]]</f>
        <v>A45 ChlR P2 part vector</v>
      </c>
      <c r="C46" s="19" t="str">
        <f>Table3[[#This Row],[Sequence]]</f>
        <v>atgcCGTCTCaACTCttgatcgggcacgtaag</v>
      </c>
      <c r="E46" s="19">
        <v>2.5000000000000001E-2</v>
      </c>
      <c r="F46" s="19" t="s">
        <v>418</v>
      </c>
      <c r="G46" s="19" t="s">
        <v>417</v>
      </c>
      <c r="I46" s="19">
        <v>1</v>
      </c>
    </row>
    <row r="47" spans="1:9" x14ac:dyDescent="0.55000000000000004">
      <c r="A47" s="19" t="str">
        <f>Table3[[#This Row],[Name]]</f>
        <v>A46 pUC P1 part vector</v>
      </c>
      <c r="C47" s="19" t="str">
        <f>Table3[[#This Row],[Sequence]]</f>
        <v>gcatCGTCTCaCCAAcccgtagaaaagatcaaagg</v>
      </c>
      <c r="E47" s="19">
        <v>2.5000000000000001E-2</v>
      </c>
      <c r="F47" s="19" t="s">
        <v>418</v>
      </c>
      <c r="G47" s="19" t="s">
        <v>417</v>
      </c>
      <c r="I47" s="19">
        <v>1</v>
      </c>
    </row>
    <row r="48" spans="1:9" x14ac:dyDescent="0.55000000000000004">
      <c r="A48" s="19" t="str">
        <f>Table3[[#This Row],[Name]]</f>
        <v>A47 pUC P2 part vector</v>
      </c>
      <c r="C48" s="19" t="str">
        <f>Table3[[#This Row],[Sequence]]</f>
        <v>atgcCGTCTCaCCGTatgtgagcaaaaggcca</v>
      </c>
      <c r="E48" s="19">
        <v>2.5000000000000001E-2</v>
      </c>
      <c r="F48" s="19" t="s">
        <v>418</v>
      </c>
      <c r="G48" s="19" t="s">
        <v>417</v>
      </c>
      <c r="I48" s="19">
        <v>1</v>
      </c>
    </row>
    <row r="49" spans="1:9" x14ac:dyDescent="0.55000000000000004">
      <c r="A49" s="19" t="str">
        <f>Table3[[#This Row],[Name]]</f>
        <v>A48 (8) spacer O1 part vector</v>
      </c>
      <c r="C49" s="19" t="str">
        <f>Table3[[#This Row],[Sequence]]</f>
        <v>GAGTttcagttccacaGGTACCcagaaggtgctt</v>
      </c>
      <c r="E49" s="19">
        <v>2.5000000000000001E-2</v>
      </c>
      <c r="F49" s="19" t="s">
        <v>418</v>
      </c>
      <c r="G49" s="19" t="s">
        <v>417</v>
      </c>
      <c r="I49" s="19">
        <v>1</v>
      </c>
    </row>
    <row r="50" spans="1:9" x14ac:dyDescent="0.55000000000000004">
      <c r="A50" s="19" t="str">
        <f>Table3[[#This Row],[Name]]</f>
        <v>A49 (8) spacer O2 part vector</v>
      </c>
      <c r="C50" s="19" t="str">
        <f>Table3[[#This Row],[Sequence]]</f>
        <v>TTGGaagcaccttctgGGTACCtgtggaactgaa</v>
      </c>
      <c r="E50" s="19">
        <v>2.5000000000000001E-2</v>
      </c>
      <c r="F50" s="19" t="s">
        <v>418</v>
      </c>
      <c r="G50" s="19" t="s">
        <v>417</v>
      </c>
      <c r="I50" s="19">
        <v>1</v>
      </c>
    </row>
    <row r="51" spans="1:9" x14ac:dyDescent="0.55000000000000004">
      <c r="A51" s="19" t="str">
        <f>Table3[[#This Row],[Name]]</f>
        <v>A50 (8) spacer O1</v>
      </c>
      <c r="C51" s="19" t="str">
        <f>Table3[[#This Row],[Sequence]]</f>
        <v>ctcgGAGTttcagttccacaGGTACCcagaaggtgcttCCAA</v>
      </c>
      <c r="E51" s="19">
        <v>2.5000000000000001E-2</v>
      </c>
      <c r="F51" s="19" t="s">
        <v>418</v>
      </c>
      <c r="G51" s="19" t="s">
        <v>417</v>
      </c>
      <c r="I51" s="19">
        <v>1</v>
      </c>
    </row>
    <row r="52" spans="1:9" x14ac:dyDescent="0.55000000000000004">
      <c r="A52" s="19" t="str">
        <f>Table3[[#This Row],[Name]]</f>
        <v>A51 (8) spacer O2</v>
      </c>
      <c r="C52" s="19" t="str">
        <f>Table3[[#This Row],[Sequence]]</f>
        <v>ctctTTGGaagcaccttctgGGTACCtgtggaactgaaACTC</v>
      </c>
      <c r="E52" s="19">
        <v>2.5000000000000001E-2</v>
      </c>
      <c r="F52" s="19" t="s">
        <v>418</v>
      </c>
      <c r="G52" s="19" t="s">
        <v>417</v>
      </c>
      <c r="I52" s="19">
        <v>1</v>
      </c>
    </row>
    <row r="53" spans="1:9" x14ac:dyDescent="0.55000000000000004">
      <c r="A53" s="19" t="str">
        <f>Table3[[#This Row],[Name]]</f>
        <v>A52 (56p0) ChlR ConX vector P1</v>
      </c>
      <c r="C53" s="19" t="str">
        <f>Table3[[#This Row],[Sequence]]</f>
        <v>gataCGTCTCaAGAGACCgtcCATCGCGGCCGCaccaataaaaaacgccc</v>
      </c>
      <c r="E53" s="19">
        <v>2.5000000000000001E-2</v>
      </c>
      <c r="F53" s="19" t="s">
        <v>418</v>
      </c>
      <c r="G53" s="19" t="s">
        <v>417</v>
      </c>
      <c r="I53" s="19">
        <v>1</v>
      </c>
    </row>
    <row r="54" spans="1:9" x14ac:dyDescent="0.55000000000000004">
      <c r="A54" s="19" t="str">
        <f>Table3[[#This Row],[Name]]</f>
        <v>A53 (81p0) pUC ConX vector P2</v>
      </c>
      <c r="C54" s="19" t="str">
        <f>Table3[[#This Row],[Sequence]]</f>
        <v>gataCGTCTCaCGAGACCttaCATCGCggccgcATGTGAGCAAAAGGCC</v>
      </c>
      <c r="E54" s="19">
        <v>2.5000000000000001E-2</v>
      </c>
      <c r="F54" s="19" t="s">
        <v>418</v>
      </c>
      <c r="G54" s="19" t="s">
        <v>417</v>
      </c>
      <c r="I54" s="19">
        <v>1</v>
      </c>
    </row>
    <row r="55" spans="1:9" x14ac:dyDescent="0.55000000000000004">
      <c r="A55" s="19" t="str">
        <f>Table3[[#This Row],[Name]]</f>
        <v>A54 (56p1) AmpR ConX' vector P1</v>
      </c>
      <c r="C55" s="19" t="str">
        <f>Table3[[#This Row],[Sequence]]</f>
        <v>gataGGTCTCaAGAGACGgtcCATCGCGGCCGCgattatcaaaaaggatcttcacc</v>
      </c>
      <c r="E55" s="19">
        <v>2.5000000000000001E-2</v>
      </c>
      <c r="F55" s="19" t="s">
        <v>418</v>
      </c>
      <c r="G55" s="19" t="s">
        <v>417</v>
      </c>
      <c r="I55" s="19">
        <v>1</v>
      </c>
    </row>
    <row r="56" spans="1:9" x14ac:dyDescent="0.55000000000000004">
      <c r="A56" s="19" t="str">
        <f>Table3[[#This Row],[Name]]</f>
        <v>A55 (81p1) pUC ConX' vector P2</v>
      </c>
      <c r="C56" s="19" t="str">
        <f>Table3[[#This Row],[Sequence]]</f>
        <v>gataGGTCTCaCGAGACGttaCATCGCggccgcATGTGAGCAAAAGGCC</v>
      </c>
      <c r="E56" s="19">
        <v>2.5000000000000001E-2</v>
      </c>
      <c r="F56" s="19" t="s">
        <v>418</v>
      </c>
      <c r="G56" s="19" t="s">
        <v>417</v>
      </c>
      <c r="I56" s="19">
        <v>1</v>
      </c>
    </row>
    <row r="57" spans="1:9" x14ac:dyDescent="0.55000000000000004">
      <c r="A57" s="19" t="str">
        <f>Table3[[#This Row],[Name]]</f>
        <v>A56 (1) ConL O1</v>
      </c>
      <c r="C57" s="19" t="str">
        <f>Table3[[#This Row],[Sequence]]</f>
        <v>ctcgACGGaaaaaaaaaccccgcccctg</v>
      </c>
      <c r="E57" s="19">
        <v>2.5000000000000001E-2</v>
      </c>
      <c r="F57" s="19" t="s">
        <v>418</v>
      </c>
      <c r="G57" s="19" t="s">
        <v>417</v>
      </c>
      <c r="I57" s="19">
        <v>1</v>
      </c>
    </row>
    <row r="58" spans="1:9" x14ac:dyDescent="0.55000000000000004">
      <c r="A58" s="19" t="str">
        <f>Table3[[#This Row],[Name]]</f>
        <v>A57 (1) ConL O2</v>
      </c>
      <c r="C58" s="19" t="str">
        <f>Table3[[#This Row],[Sequence]]</f>
        <v>acagggcggggttttttttCCAATTATTGAAGGCCTC</v>
      </c>
      <c r="E58" s="19">
        <v>2.5000000000000001E-2</v>
      </c>
      <c r="F58" s="19" t="s">
        <v>418</v>
      </c>
      <c r="G58" s="19" t="s">
        <v>417</v>
      </c>
      <c r="I58" s="19">
        <v>1</v>
      </c>
    </row>
    <row r="59" spans="1:9" x14ac:dyDescent="0.55000000000000004">
      <c r="A59" s="19" t="str">
        <f>Table3[[#This Row],[Name]]</f>
        <v>A58 (1) ConL O3</v>
      </c>
      <c r="C59" s="19" t="str">
        <f>Table3[[#This Row],[Sequence]]</f>
        <v>CCTAACGGGGGGCCTTTTTTTGTTTCTGGTCTgCC</v>
      </c>
      <c r="E59" s="19">
        <v>2.5000000000000001E-2</v>
      </c>
      <c r="F59" s="19" t="s">
        <v>418</v>
      </c>
      <c r="G59" s="19" t="s">
        <v>417</v>
      </c>
      <c r="I59" s="19">
        <v>1</v>
      </c>
    </row>
    <row r="60" spans="1:9" x14ac:dyDescent="0.55000000000000004">
      <c r="A60" s="19" t="str">
        <f>Table3[[#This Row],[Name]]</f>
        <v>A59 (1) ConL O4</v>
      </c>
      <c r="C60" s="19" t="str">
        <f>Table3[[#This Row],[Sequence]]</f>
        <v>ctaactaactaagaattcgcggccgcttctagag</v>
      </c>
      <c r="E60" s="19">
        <v>2.5000000000000001E-2</v>
      </c>
      <c r="F60" s="19" t="s">
        <v>418</v>
      </c>
      <c r="G60" s="19" t="s">
        <v>417</v>
      </c>
      <c r="I60" s="19">
        <v>1</v>
      </c>
    </row>
    <row r="61" spans="1:9" x14ac:dyDescent="0.55000000000000004">
      <c r="A61" s="19" t="str">
        <f>Table3[[#This Row],[Name]]</f>
        <v>A60 (1) ConL O5</v>
      </c>
      <c r="C61" s="19" t="str">
        <f>Table3[[#This Row],[Sequence]]</f>
        <v>aaaaaaaaccccgccctgtcaggggcggggtttttttttCCGT</v>
      </c>
      <c r="E61" s="19">
        <v>2.5000000000000001E-2</v>
      </c>
      <c r="F61" s="19" t="s">
        <v>418</v>
      </c>
      <c r="G61" s="19" t="s">
        <v>417</v>
      </c>
      <c r="I61" s="19">
        <v>1</v>
      </c>
    </row>
    <row r="62" spans="1:9" x14ac:dyDescent="0.55000000000000004">
      <c r="A62" s="19" t="str">
        <f>Table3[[#This Row],[Name]]</f>
        <v>A61 (1) ConL O6</v>
      </c>
      <c r="C62" s="19" t="str">
        <f>Table3[[#This Row],[Sequence]]</f>
        <v>GGCCCCCCGTTAGGGAGGCCTTCAATAATTGG</v>
      </c>
      <c r="E62" s="19">
        <v>2.5000000000000001E-2</v>
      </c>
      <c r="F62" s="19" t="s">
        <v>418</v>
      </c>
      <c r="G62" s="19" t="s">
        <v>417</v>
      </c>
      <c r="I62" s="19">
        <v>1</v>
      </c>
    </row>
    <row r="63" spans="1:9" x14ac:dyDescent="0.55000000000000004">
      <c r="A63" s="19" t="str">
        <f>Table3[[#This Row],[Name]]</f>
        <v>A62 (1) ConL O7</v>
      </c>
      <c r="C63" s="19" t="str">
        <f>Table3[[#This Row],[Sequence]]</f>
        <v>ttagttagttagGGcAGACCAGAAACAAAAAAA</v>
      </c>
      <c r="E63" s="19">
        <v>2.5000000000000001E-2</v>
      </c>
      <c r="F63" s="19" t="s">
        <v>418</v>
      </c>
      <c r="G63" s="19" t="s">
        <v>417</v>
      </c>
      <c r="I63" s="19">
        <v>1</v>
      </c>
    </row>
    <row r="64" spans="1:9" x14ac:dyDescent="0.55000000000000004">
      <c r="A64" s="19" t="str">
        <f>Table3[[#This Row],[Name]]</f>
        <v>A63 (1) ConL O8</v>
      </c>
      <c r="C64" s="19" t="str">
        <f>Table3[[#This Row],[Sequence]]</f>
        <v>gtgactctagaagcggccgcgaattc</v>
      </c>
      <c r="E64" s="19">
        <v>2.5000000000000001E-2</v>
      </c>
      <c r="F64" s="19" t="s">
        <v>418</v>
      </c>
      <c r="G64" s="19" t="s">
        <v>417</v>
      </c>
      <c r="I64" s="19">
        <v>1</v>
      </c>
    </row>
    <row r="65" spans="1:9" x14ac:dyDescent="0.55000000000000004">
      <c r="A65" s="19" t="str">
        <f>Table3[[#This Row],[Name]]</f>
        <v>A64 ConLp1 O9</v>
      </c>
      <c r="C65" s="19" t="str">
        <f>Table3[[#This Row],[Sequence]]</f>
        <v>tcacGCGATGtaaggtCTCG</v>
      </c>
      <c r="E65" s="19">
        <v>2.5000000000000001E-2</v>
      </c>
      <c r="F65" s="19" t="s">
        <v>418</v>
      </c>
      <c r="G65" s="19" t="s">
        <v>417</v>
      </c>
      <c r="I65" s="19">
        <v>1</v>
      </c>
    </row>
    <row r="66" spans="1:9" x14ac:dyDescent="0.55000000000000004">
      <c r="A66" s="19" t="str">
        <f>Table3[[#This Row],[Name]]</f>
        <v>A65 ConLp1 O10</v>
      </c>
      <c r="C66" s="19" t="str">
        <f>Table3[[#This Row],[Sequence]]</f>
        <v>ctctCGAGaccttaCATCGC</v>
      </c>
      <c r="E66" s="19">
        <v>2.5000000000000001E-2</v>
      </c>
      <c r="F66" s="19" t="s">
        <v>418</v>
      </c>
      <c r="G66" s="19" t="s">
        <v>417</v>
      </c>
      <c r="I66" s="19">
        <v>1</v>
      </c>
    </row>
    <row r="67" spans="1:9" x14ac:dyDescent="0.55000000000000004">
      <c r="A67" s="19" t="str">
        <f>Table3[[#This Row],[Name]]</f>
        <v>A66 (6) ConR O1</v>
      </c>
      <c r="C67" s="19" t="str">
        <f>Table3[[#This Row],[Sequence]]</f>
        <v>gcattactagtagcggccgctgcagttagttagttag</v>
      </c>
      <c r="E67" s="19">
        <v>2.5000000000000001E-2</v>
      </c>
      <c r="F67" s="19" t="s">
        <v>418</v>
      </c>
      <c r="G67" s="19" t="s">
        <v>417</v>
      </c>
      <c r="I67" s="19">
        <v>1</v>
      </c>
    </row>
    <row r="68" spans="1:9" x14ac:dyDescent="0.55000000000000004">
      <c r="A68" s="19" t="str">
        <f>Table3[[#This Row],[Name]]</f>
        <v>A67 (6) ConR O2</v>
      </c>
      <c r="C68" s="19" t="str">
        <f>Table3[[#This Row],[Sequence]]</f>
        <v>CTCGGTACCAAATTCCAGAAAAGAGGCCTCCCGAAA</v>
      </c>
      <c r="E68" s="19">
        <v>2.5000000000000001E-2</v>
      </c>
      <c r="F68" s="19" t="s">
        <v>418</v>
      </c>
      <c r="G68" s="19" t="s">
        <v>417</v>
      </c>
      <c r="I68" s="19">
        <v>1</v>
      </c>
    </row>
    <row r="69" spans="1:9" x14ac:dyDescent="0.55000000000000004">
      <c r="A69" s="19" t="str">
        <f>Table3[[#This Row],[Name]]</f>
        <v>A68 (6) ConR O3</v>
      </c>
      <c r="C69" s="19" t="str">
        <f>Table3[[#This Row],[Sequence]]</f>
        <v>GGGGGGCCTTTTTTCGTTTTGGTCCTTTTGTTATCA</v>
      </c>
      <c r="E69" s="19">
        <v>2.5000000000000001E-2</v>
      </c>
      <c r="F69" s="19" t="s">
        <v>418</v>
      </c>
      <c r="G69" s="19" t="s">
        <v>417</v>
      </c>
      <c r="I69" s="19">
        <v>1</v>
      </c>
    </row>
    <row r="70" spans="1:9" x14ac:dyDescent="0.55000000000000004">
      <c r="A70" s="19" t="str">
        <f>Table3[[#This Row],[Name]]</f>
        <v>A69 (6) ConR O4</v>
      </c>
      <c r="C70" s="19" t="str">
        <f>Table3[[#This Row],[Sequence]]</f>
        <v>ATAAAAAAGGGGAGCGGTTTCCCGCTCCCCTTATTGTTCGTCTACA</v>
      </c>
      <c r="E70" s="19">
        <v>2.5000000000000001E-2</v>
      </c>
      <c r="F70" s="19" t="s">
        <v>418</v>
      </c>
      <c r="G70" s="19" t="s">
        <v>417</v>
      </c>
      <c r="I70" s="19">
        <v>1</v>
      </c>
    </row>
    <row r="71" spans="1:9" x14ac:dyDescent="0.55000000000000004">
      <c r="A71" s="19" t="str">
        <f>Table3[[#This Row],[Name]]</f>
        <v>A70 (6) ConR O5</v>
      </c>
      <c r="C71" s="19" t="str">
        <f>Table3[[#This Row],[Sequence]]</f>
        <v>TTTGGTACCGAGctaactaactaactgcagcggccgctactagta</v>
      </c>
      <c r="E71" s="19">
        <v>2.5000000000000001E-2</v>
      </c>
      <c r="F71" s="19" t="s">
        <v>418</v>
      </c>
      <c r="G71" s="19" t="s">
        <v>417</v>
      </c>
      <c r="I71" s="19">
        <v>1</v>
      </c>
    </row>
    <row r="72" spans="1:9" x14ac:dyDescent="0.55000000000000004">
      <c r="A72" s="19" t="str">
        <f>Table3[[#This Row],[Name]]</f>
        <v>A71 (6) ConR O6</v>
      </c>
      <c r="C72" s="19" t="str">
        <f>Table3[[#This Row],[Sequence]]</f>
        <v>AAAAAAGGCCCCCCTTTCGGGAGGCCTCTTTTCTGGAA</v>
      </c>
      <c r="E72" s="19">
        <v>2.5000000000000001E-2</v>
      </c>
      <c r="F72" s="19" t="s">
        <v>418</v>
      </c>
      <c r="G72" s="19" t="s">
        <v>417</v>
      </c>
      <c r="I72" s="19">
        <v>1</v>
      </c>
    </row>
    <row r="73" spans="1:9" x14ac:dyDescent="0.55000000000000004">
      <c r="A73" s="19" t="str">
        <f>Table3[[#This Row],[Name]]</f>
        <v>A72 (6) ConR O7</v>
      </c>
      <c r="C73" s="19" t="str">
        <f>Table3[[#This Row],[Sequence]]</f>
        <v>CCGCTCCCCTTTTTTATTGATAACAAAAGGACCAAAACG</v>
      </c>
      <c r="E73" s="19">
        <v>2.5000000000000001E-2</v>
      </c>
      <c r="F73" s="19" t="s">
        <v>418</v>
      </c>
      <c r="G73" s="19" t="s">
        <v>417</v>
      </c>
      <c r="I73" s="19">
        <v>1</v>
      </c>
    </row>
    <row r="74" spans="1:9" x14ac:dyDescent="0.55000000000000004">
      <c r="A74" s="19" t="str">
        <f>Table3[[#This Row],[Name]]</f>
        <v>A73 (6) ConR O8</v>
      </c>
      <c r="C74" s="19" t="str">
        <f>Table3[[#This Row],[Sequence]]</f>
        <v>ctctTGTAGACGAACAATAAGGGGAGCGGGAAA</v>
      </c>
      <c r="E74" s="19">
        <v>2.5000000000000001E-2</v>
      </c>
      <c r="F74" s="19" t="s">
        <v>418</v>
      </c>
      <c r="G74" s="19" t="s">
        <v>417</v>
      </c>
      <c r="I74" s="19">
        <v>1</v>
      </c>
    </row>
    <row r="75" spans="1:9" x14ac:dyDescent="0.55000000000000004">
      <c r="A75" s="19" t="str">
        <f>Table3[[#This Row],[Name]]</f>
        <v>A74 (6) ConRp1 O9</v>
      </c>
      <c r="C75" s="19" t="str">
        <f>Table3[[#This Row],[Sequence]]</f>
        <v>ctcgAGAGaccCgtcCATCGC</v>
      </c>
      <c r="E75" s="19">
        <v>2.5000000000000001E-2</v>
      </c>
      <c r="F75" s="19" t="s">
        <v>418</v>
      </c>
      <c r="G75" s="19" t="s">
        <v>417</v>
      </c>
      <c r="I75" s="19">
        <v>1</v>
      </c>
    </row>
    <row r="76" spans="1:9" x14ac:dyDescent="0.55000000000000004">
      <c r="A76" s="19" t="str">
        <f>Table3[[#This Row],[Name]]</f>
        <v>A75 (6) ConRp1 O10</v>
      </c>
      <c r="C76" s="19" t="str">
        <f>Table3[[#This Row],[Sequence]]</f>
        <v>atgcGCGATGgacGggtCTCT</v>
      </c>
      <c r="E76" s="19">
        <v>2.5000000000000001E-2</v>
      </c>
      <c r="F76" s="19" t="s">
        <v>418</v>
      </c>
      <c r="G76" s="19" t="s">
        <v>417</v>
      </c>
      <c r="I76" s="19">
        <v>1</v>
      </c>
    </row>
    <row r="77" spans="1:9" x14ac:dyDescent="0.55000000000000004">
      <c r="A77" s="19" t="str">
        <f>Table3[[#This Row],[Name]]</f>
        <v>A76 (4ab) P2 Ec.araCΔC13</v>
      </c>
      <c r="C77" s="19" t="str">
        <f>Table3[[#This Row],[Sequence]]</f>
        <v>atgcCGTCTCactctAGATccACCGGCACGGAACTCG</v>
      </c>
      <c r="E77" s="19">
        <v>2.5000000000000001E-2</v>
      </c>
      <c r="F77" s="19" t="s">
        <v>418</v>
      </c>
      <c r="G77" s="19" t="s">
        <v>417</v>
      </c>
      <c r="I77" s="19">
        <v>1</v>
      </c>
    </row>
    <row r="78" spans="1:9" x14ac:dyDescent="0.55000000000000004">
      <c r="A78" s="19" t="str">
        <f>Table3[[#This Row],[Name]]</f>
        <v>A77 (2345pr0) P1 ccdB</v>
      </c>
      <c r="C78" s="19" t="str">
        <f>Table3[[#This Row],[Sequence]]</f>
        <v>agtaCTCGtgagacgggcttactaaaagccagataacag</v>
      </c>
      <c r="E78" s="19">
        <v>2.5000000000000001E-2</v>
      </c>
      <c r="F78" s="19" t="s">
        <v>418</v>
      </c>
      <c r="G78" s="19" t="s">
        <v>417</v>
      </c>
      <c r="I78" s="19">
        <v>1</v>
      </c>
    </row>
    <row r="79" spans="1:9" x14ac:dyDescent="0.55000000000000004">
      <c r="A79" s="19" t="str">
        <f>Table3[[#This Row],[Name]]</f>
        <v>A78 (2345pr0) P2 ccdB-rrfBt1</v>
      </c>
      <c r="C79" s="19" t="str">
        <f>Table3[[#This Row],[Sequence]]</f>
        <v>atgcCGTCTCaGTTAttatattccccagaacatcagg</v>
      </c>
      <c r="E79" s="19">
        <v>2.5000000000000001E-2</v>
      </c>
      <c r="F79" s="19" t="s">
        <v>418</v>
      </c>
      <c r="G79" s="19" t="s">
        <v>417</v>
      </c>
      <c r="I79" s="19">
        <v>1</v>
      </c>
    </row>
    <row r="80" spans="1:9" x14ac:dyDescent="0.55000000000000004">
      <c r="A80" s="19" t="str">
        <f>Table3[[#This Row],[Name]]</f>
        <v>A79 (2345pr0) P1 glpTp-sfgfp</v>
      </c>
      <c r="C80" s="19" t="str">
        <f>Table3[[#This Row],[Sequence]]</f>
        <v>agtaCTCGtgagacgGAAAGTGAAACGTGATTTCATG</v>
      </c>
      <c r="E80" s="19">
        <v>2.5000000000000001E-2</v>
      </c>
      <c r="F80" s="19" t="s">
        <v>418</v>
      </c>
      <c r="G80" s="19" t="s">
        <v>417</v>
      </c>
      <c r="I80" s="19">
        <v>1</v>
      </c>
    </row>
    <row r="81" spans="1:9" x14ac:dyDescent="0.55000000000000004">
      <c r="A81" s="19" t="str">
        <f>Table3[[#This Row],[Name]]</f>
        <v>A80 AmpR P2 part vector</v>
      </c>
      <c r="C81" s="19" t="str">
        <f>Table3[[#This Row],[Sequence]]</f>
        <v>atgcGGTCTCaACTCcaggtggcacttttcgg</v>
      </c>
      <c r="E81" s="19">
        <v>2.5000000000000001E-2</v>
      </c>
      <c r="F81" s="19" t="s">
        <v>418</v>
      </c>
      <c r="G81" s="19" t="s">
        <v>417</v>
      </c>
      <c r="I81" s="19">
        <v>1</v>
      </c>
    </row>
    <row r="82" spans="1:9" x14ac:dyDescent="0.55000000000000004">
      <c r="A82" s="19" t="str">
        <f>Table3[[#This Row],[Name]]</f>
        <v>A81 pUC P1 part vector</v>
      </c>
      <c r="C82" s="19" t="str">
        <f>Table3[[#This Row],[Sequence]]</f>
        <v>gcatGGTCTCaCCAAcccgtagaaaagatcaaagg</v>
      </c>
      <c r="E82" s="19">
        <v>2.5000000000000001E-2</v>
      </c>
      <c r="F82" s="19" t="s">
        <v>418</v>
      </c>
      <c r="G82" s="19" t="s">
        <v>417</v>
      </c>
      <c r="I82" s="19">
        <v>1</v>
      </c>
    </row>
    <row r="83" spans="1:9" x14ac:dyDescent="0.55000000000000004">
      <c r="A83" s="19" t="str">
        <f>Table3[[#This Row],[Name]]</f>
        <v>B01 (2345pr1) P1 ccdB</v>
      </c>
      <c r="C83" s="19" t="str">
        <f>Table3[[#This Row],[Sequence]]</f>
        <v>gcatCTCGcGAGACCtatCATCGCggcttactaaaagccagataac</v>
      </c>
      <c r="E83" s="19">
        <v>2.5000000000000001E-2</v>
      </c>
      <c r="F83" s="19" t="s">
        <v>418</v>
      </c>
      <c r="G83" s="19" t="s">
        <v>417</v>
      </c>
      <c r="I83" s="19">
        <v>1</v>
      </c>
    </row>
    <row r="84" spans="1:9" x14ac:dyDescent="0.55000000000000004">
      <c r="A84" s="19" t="str">
        <f>Table3[[#This Row],[Name]]</f>
        <v>B02 (2345pr1) P2 ccdB</v>
      </c>
      <c r="C84" s="19" t="str">
        <f>Table3[[#This Row],[Sequence]]</f>
        <v>ATGCGGTCTCAAACGGAcACCGGCACACT</v>
      </c>
      <c r="E84" s="19">
        <v>2.5000000000000001E-2</v>
      </c>
      <c r="F84" s="19" t="s">
        <v>418</v>
      </c>
      <c r="G84" s="19" t="s">
        <v>417</v>
      </c>
      <c r="I84" s="19">
        <v>1</v>
      </c>
    </row>
    <row r="85" spans="1:9" x14ac:dyDescent="0.55000000000000004">
      <c r="A85" s="19" t="str">
        <f>Table3[[#This Row],[Name]]</f>
        <v>B03 (2345pr1) P3 ccdB</v>
      </c>
      <c r="C85" s="19" t="str">
        <f>Table3[[#This Row],[Sequence]]</f>
        <v>GCATGGTCTCACGTTATCGGGGAAGAAG</v>
      </c>
      <c r="E85" s="19">
        <v>2.5000000000000001E-2</v>
      </c>
      <c r="F85" s="19" t="s">
        <v>418</v>
      </c>
      <c r="G85" s="19" t="s">
        <v>417</v>
      </c>
      <c r="I85" s="19">
        <v>1</v>
      </c>
    </row>
    <row r="86" spans="1:9" x14ac:dyDescent="0.55000000000000004">
      <c r="A86" s="19" t="str">
        <f>Table3[[#This Row],[Name]]</f>
        <v>B04 (2345pr1) P4 rrfBt1</v>
      </c>
      <c r="C86" s="19" t="str">
        <f>Table3[[#This Row],[Sequence]]</f>
        <v>ctgaCTCTcGAGACCtatCATCGCgagagcgttcaccgac</v>
      </c>
      <c r="E86" s="19">
        <v>2.5000000000000001E-2</v>
      </c>
      <c r="F86" s="19" t="s">
        <v>418</v>
      </c>
      <c r="G86" s="19" t="s">
        <v>417</v>
      </c>
      <c r="I86" s="19">
        <v>1</v>
      </c>
    </row>
    <row r="87" spans="1:9" x14ac:dyDescent="0.55000000000000004">
      <c r="A87" s="19" t="str">
        <f>Table3[[#This Row],[Name]]</f>
        <v>B05 (2345pr1) P1 glpTp-sfgfp</v>
      </c>
      <c r="C87" s="19" t="str">
        <f>Table3[[#This Row],[Sequence]]</f>
        <v>gcatCTCGcGAGACCtatCATCGCgaaagtgaaacgtgatttcatgc</v>
      </c>
      <c r="E87" s="19">
        <v>2.5000000000000001E-2</v>
      </c>
      <c r="F87" s="19" t="s">
        <v>418</v>
      </c>
      <c r="G87" s="19" t="s">
        <v>417</v>
      </c>
      <c r="I87" s="19">
        <v>1</v>
      </c>
    </row>
    <row r="88" spans="1:9" x14ac:dyDescent="0.55000000000000004">
      <c r="A88" s="19" t="str">
        <f>Table3[[#This Row],[Name]]</f>
        <v>B06 (7) tetA(B) P1</v>
      </c>
      <c r="C88" s="19" t="str">
        <f>Table3[[#This Row],[Sequence]]</f>
        <v>gcatcgtctcactcgGAGTttgacaccctatcattgatag</v>
      </c>
      <c r="E88" s="19">
        <v>2.5000000000000001E-2</v>
      </c>
      <c r="F88" s="19" t="s">
        <v>418</v>
      </c>
      <c r="G88" s="19" t="s">
        <v>417</v>
      </c>
      <c r="I88" s="19">
        <v>1</v>
      </c>
    </row>
    <row r="89" spans="1:9" x14ac:dyDescent="0.55000000000000004">
      <c r="A89" s="19" t="str">
        <f>Table3[[#This Row],[Name]]</f>
        <v>B07 (7) tetA(B)_rev P5</v>
      </c>
      <c r="C89" s="19" t="str">
        <f>Table3[[#This Row],[Sequence]]</f>
        <v>atgcCGTCTCaCGTttcaacccctacttcggtat</v>
      </c>
      <c r="E89" s="19">
        <v>2.5000000000000001E-2</v>
      </c>
      <c r="F89" s="19" t="s">
        <v>418</v>
      </c>
      <c r="G89" s="19" t="s">
        <v>417</v>
      </c>
      <c r="I89" s="19">
        <v>1</v>
      </c>
    </row>
    <row r="90" spans="1:9" x14ac:dyDescent="0.55000000000000004">
      <c r="A90" s="19" t="str">
        <f>Table3[[#This Row],[Name]]</f>
        <v>B08 (7) tetA(B)_rev P4</v>
      </c>
      <c r="C90" s="19" t="str">
        <f>Table3[[#This Row],[Sequence]]</f>
        <v>gcatCGTCTCaaACGcaatcaaattcggtg</v>
      </c>
      <c r="E90" s="19">
        <v>2.5000000000000001E-2</v>
      </c>
      <c r="F90" s="19" t="s">
        <v>418</v>
      </c>
      <c r="G90" s="19" t="s">
        <v>417</v>
      </c>
      <c r="I90" s="19">
        <v>1</v>
      </c>
    </row>
    <row r="91" spans="1:9" x14ac:dyDescent="0.55000000000000004">
      <c r="A91" s="19" t="str">
        <f>Table3[[#This Row],[Name]]</f>
        <v>B09 (7) tetA(B) P4</v>
      </c>
      <c r="C91" s="19" t="str">
        <f>Table3[[#This Row],[Sequence]]</f>
        <v>gcatCGTCTCactctTTGGaaaaattaaaaatgaagttttggagg</v>
      </c>
      <c r="E91" s="19">
        <v>2.5000000000000001E-2</v>
      </c>
      <c r="F91" s="19" t="s">
        <v>418</v>
      </c>
      <c r="G91" s="19" t="s">
        <v>417</v>
      </c>
      <c r="I91" s="19">
        <v>1</v>
      </c>
    </row>
    <row r="92" spans="1:9" x14ac:dyDescent="0.55000000000000004">
      <c r="A92" s="19" t="str">
        <f>Table3[[#This Row],[Name]]</f>
        <v>B10 (7) tetA(B)_rev P1</v>
      </c>
      <c r="C92" s="19" t="str">
        <f>Table3[[#This Row],[Sequence]]</f>
        <v>gcatCGTCTCactcgGAGTgattctcaccaataaaaaacgc</v>
      </c>
      <c r="E92" s="19">
        <v>2.5000000000000001E-2</v>
      </c>
      <c r="F92" s="19" t="s">
        <v>418</v>
      </c>
      <c r="G92" s="19" t="s">
        <v>417</v>
      </c>
      <c r="I92" s="19">
        <v>1</v>
      </c>
    </row>
    <row r="93" spans="1:9" x14ac:dyDescent="0.55000000000000004">
      <c r="A93" s="19" t="str">
        <f>Table3[[#This Row],[Name]]</f>
        <v>B11 (7) tetA(B)_rev P6</v>
      </c>
      <c r="C93" s="19" t="str">
        <f>Table3[[#This Row],[Sequence]]</f>
        <v>gcatCGTCTCactctTTGGttgacaccctatcattgatagag</v>
      </c>
      <c r="E93" s="19">
        <v>2.5000000000000001E-2</v>
      </c>
      <c r="F93" s="19" t="s">
        <v>418</v>
      </c>
      <c r="G93" s="19" t="s">
        <v>417</v>
      </c>
      <c r="I93" s="19">
        <v>1</v>
      </c>
    </row>
    <row r="94" spans="1:9" x14ac:dyDescent="0.55000000000000004">
      <c r="A94" s="19" t="str">
        <f>Table3[[#This Row],[Name]]</f>
        <v>B12 (8) tonB/P14t O1</v>
      </c>
      <c r="C94" s="19" t="str">
        <f>Table3[[#This Row],[Sequence]]</f>
        <v>gtCGTCTCactcgGAGTcctgttgagtaatagtcaaaagcctccggtcggaggc</v>
      </c>
      <c r="E94" s="19">
        <v>2.5000000000000001E-2</v>
      </c>
      <c r="F94" s="19" t="s">
        <v>418</v>
      </c>
      <c r="G94" s="19" t="s">
        <v>417</v>
      </c>
      <c r="I94" s="19">
        <v>1</v>
      </c>
    </row>
    <row r="95" spans="1:9" x14ac:dyDescent="0.55000000000000004">
      <c r="A95" s="19" t="str">
        <f>Table3[[#This Row],[Name]]</f>
        <v>B13 (8) tonB/P14t O2</v>
      </c>
      <c r="C95" s="19" t="str">
        <f>Table3[[#This Row],[Sequence]]</f>
        <v>caCGTCTCactctTTGGgtaagcagaaagtcaaaagcctccgaccggaggc</v>
      </c>
      <c r="E95" s="19">
        <v>2.5000000000000001E-2</v>
      </c>
      <c r="F95" s="19" t="s">
        <v>418</v>
      </c>
      <c r="G95" s="19" t="s">
        <v>417</v>
      </c>
      <c r="I95" s="19">
        <v>1</v>
      </c>
    </row>
    <row r="96" spans="1:9" x14ac:dyDescent="0.55000000000000004">
      <c r="A96" s="19" t="str">
        <f>Table3[[#This Row],[Name]]</f>
        <v>B14 (7) tetA(B)_rev P2</v>
      </c>
      <c r="C96" s="19" t="str">
        <f>Table3[[#This Row],[Sequence]]</f>
        <v>gcatCGTCTCaCTTAattatttcgtcaccaaatg</v>
      </c>
      <c r="E96" s="19">
        <v>2.5000000000000001E-2</v>
      </c>
      <c r="F96" s="19" t="s">
        <v>418</v>
      </c>
      <c r="G96" s="19" t="s">
        <v>417</v>
      </c>
      <c r="I96" s="19">
        <v>1</v>
      </c>
    </row>
    <row r="97" spans="1:9" x14ac:dyDescent="0.55000000000000004">
      <c r="A97" s="19" t="str">
        <f>Table3[[#This Row],[Name]]</f>
        <v>B15 (7) tetA(B)_rev P3</v>
      </c>
      <c r="C97" s="19" t="str">
        <f>Table3[[#This Row],[Sequence]]</f>
        <v>gcatCGTCTCaTAAGcacttgtctcctgtttac</v>
      </c>
      <c r="E97" s="19">
        <v>2.5000000000000001E-2</v>
      </c>
      <c r="F97" s="19" t="s">
        <v>418</v>
      </c>
      <c r="G97" s="19" t="s">
        <v>417</v>
      </c>
      <c r="I97" s="19">
        <v>1</v>
      </c>
    </row>
    <row r="98" spans="1:9" x14ac:dyDescent="0.55000000000000004">
      <c r="A98" s="19" t="str">
        <f>Table3[[#This Row],[Name]]</f>
        <v xml:space="preserve">B16 </v>
      </c>
      <c r="C98" s="19">
        <f>Table3[[#This Row],[Sequence]]</f>
        <v>0</v>
      </c>
      <c r="E98" s="19">
        <v>2.5000000000000001E-2</v>
      </c>
      <c r="F98" s="19" t="s">
        <v>418</v>
      </c>
      <c r="G98" s="19" t="s">
        <v>417</v>
      </c>
      <c r="I98" s="19">
        <v>1</v>
      </c>
    </row>
    <row r="99" spans="1:9" x14ac:dyDescent="0.55000000000000004">
      <c r="A99" s="19" t="str">
        <f>Table3[[#This Row],[Name]]</f>
        <v>B17 ConL F seq</v>
      </c>
      <c r="C99" s="19" t="str">
        <f>Table3[[#This Row],[Sequence]]</f>
        <v>GGCCTTTTTTTGTTTCTGGTCTgCC</v>
      </c>
      <c r="E99" s="19">
        <v>2.5000000000000001E-2</v>
      </c>
      <c r="F99" s="19" t="s">
        <v>418</v>
      </c>
      <c r="G99" s="19" t="s">
        <v>417</v>
      </c>
      <c r="I99" s="19">
        <v>1</v>
      </c>
    </row>
    <row r="100" spans="1:9" x14ac:dyDescent="0.55000000000000004">
      <c r="A100" s="19" t="str">
        <f>Table3[[#This Row],[Name]]</f>
        <v>B18 ConR R seq</v>
      </c>
      <c r="C100" s="19" t="str">
        <f>Table3[[#This Row],[Sequence]]</f>
        <v>CTCTTTTCTGGAATTTGGTACCGAGc</v>
      </c>
      <c r="E100" s="19">
        <v>2.5000000000000001E-2</v>
      </c>
      <c r="F100" s="19" t="s">
        <v>418</v>
      </c>
      <c r="G100" s="19" t="s">
        <v>417</v>
      </c>
      <c r="I100" s="19">
        <v>1</v>
      </c>
    </row>
    <row r="101" spans="1:9" x14ac:dyDescent="0.55000000000000004">
      <c r="A101" s="19" t="str">
        <f>Table3[[#This Row],[Name]]</f>
        <v>B19 (7) ChlR.r P1</v>
      </c>
      <c r="C101" s="19" t="str">
        <f>Table3[[#This Row],[Sequence]]</f>
        <v>cgatGGTCTCactcgTACAaccaataaaaaacgcccg</v>
      </c>
      <c r="E101" s="19">
        <v>2.5000000000000001E-2</v>
      </c>
      <c r="F101" s="19" t="s">
        <v>418</v>
      </c>
      <c r="G101" s="19" t="s">
        <v>417</v>
      </c>
      <c r="I101" s="19">
        <v>1</v>
      </c>
    </row>
    <row r="102" spans="1:9" x14ac:dyDescent="0.55000000000000004">
      <c r="A102" s="19" t="str">
        <f>Table3[[#This Row],[Name]]</f>
        <v>B20 (7) ChlR*.r P2</v>
      </c>
      <c r="C102" s="19" t="str">
        <f>Table3[[#This Row],[Sequence]]</f>
        <v>gcatGGTCTCaGTAAtttAAAtgatatcgagctcgcttgg</v>
      </c>
      <c r="E102" s="19">
        <v>2.5000000000000001E-2</v>
      </c>
      <c r="F102" s="19" t="s">
        <v>418</v>
      </c>
      <c r="G102" s="19" t="s">
        <v>417</v>
      </c>
      <c r="I102" s="19">
        <v>1</v>
      </c>
    </row>
    <row r="103" spans="1:9" x14ac:dyDescent="0.55000000000000004">
      <c r="A103" s="19" t="str">
        <f>Table3[[#This Row],[Name]]</f>
        <v>B21 (7) ChlR*.r P3</v>
      </c>
      <c r="C103" s="19" t="str">
        <f>Table3[[#This Row],[Sequence]]</f>
        <v>cgatGGTCTCtTTACgccccgccctgcc</v>
      </c>
      <c r="E103" s="19">
        <v>2.5000000000000001E-2</v>
      </c>
      <c r="F103" s="19" t="s">
        <v>418</v>
      </c>
      <c r="G103" s="19" t="s">
        <v>417</v>
      </c>
      <c r="I103" s="19">
        <v>1</v>
      </c>
    </row>
    <row r="104" spans="1:9" x14ac:dyDescent="0.55000000000000004">
      <c r="A104" s="19" t="str">
        <f>Table3[[#This Row],[Name]]</f>
        <v>B22 (7) ChlR*.r P4</v>
      </c>
      <c r="C104" s="19" t="str">
        <f>Table3[[#This Row],[Sequence]]</f>
        <v>gcatGGTCTCaAAtGtggccaatatggacaacttc</v>
      </c>
      <c r="E104" s="19">
        <v>2.5000000000000001E-2</v>
      </c>
      <c r="F104" s="19" t="s">
        <v>418</v>
      </c>
      <c r="G104" s="19" t="s">
        <v>417</v>
      </c>
      <c r="I104" s="19">
        <v>1</v>
      </c>
    </row>
    <row r="105" spans="1:9" x14ac:dyDescent="0.55000000000000004">
      <c r="A105" s="19" t="str">
        <f>Table3[[#This Row],[Name]]</f>
        <v>B23 (7) ChlR*.r P5</v>
      </c>
      <c r="C105" s="19" t="str">
        <f>Table3[[#This Row],[Sequence]]</f>
        <v>cgatGGTCTCaCaTTtaaatcaaaactggtgaaactc</v>
      </c>
      <c r="E105" s="19">
        <v>2.5000000000000001E-2</v>
      </c>
      <c r="F105" s="19" t="s">
        <v>418</v>
      </c>
      <c r="G105" s="19" t="s">
        <v>417</v>
      </c>
      <c r="I105" s="19">
        <v>1</v>
      </c>
    </row>
    <row r="106" spans="1:9" x14ac:dyDescent="0.55000000000000004">
      <c r="A106" s="19" t="str">
        <f>Table3[[#This Row],[Name]]</f>
        <v>B24 (7) ChlR*.r P6</v>
      </c>
      <c r="C106" s="19" t="str">
        <f>Table3[[#This Row],[Sequence]]</f>
        <v>gcatGGTCTCactctACTCatttaaaTTGATCGGGCACGTAAG</v>
      </c>
      <c r="E106" s="19">
        <v>2.5000000000000001E-2</v>
      </c>
      <c r="F106" s="19" t="s">
        <v>418</v>
      </c>
      <c r="G106" s="19" t="s">
        <v>417</v>
      </c>
      <c r="I106" s="19">
        <v>1</v>
      </c>
    </row>
    <row r="107" spans="1:9" x14ac:dyDescent="0.55000000000000004">
      <c r="A107" s="19" t="str">
        <f>Table3[[#This Row],[Name]]</f>
        <v>B25 (7) ChlR*.r P7</v>
      </c>
      <c r="C107" s="19" t="str">
        <f>Table3[[#This Row],[Sequence]]</f>
        <v>gcatGGTCTCactctACTCttgatcgggcacgt</v>
      </c>
      <c r="E107" s="19">
        <v>2.5000000000000001E-2</v>
      </c>
      <c r="F107" s="19" t="s">
        <v>418</v>
      </c>
      <c r="G107" s="19" t="s">
        <v>417</v>
      </c>
      <c r="I107" s="19">
        <v>1</v>
      </c>
    </row>
    <row r="108" spans="1:9" x14ac:dyDescent="0.55000000000000004">
      <c r="A108" s="19" t="str">
        <f>Table3[[#This Row],[Name]]</f>
        <v>B26 (1p) ConL new O2</v>
      </c>
      <c r="C108" s="19" t="str">
        <f>Table3[[#This Row],[Sequence]]</f>
        <v>acagggcggggttttttttCCAATTATTGAAGGCCG</v>
      </c>
      <c r="E108" s="19">
        <v>2.5000000000000001E-2</v>
      </c>
      <c r="F108" s="19" t="s">
        <v>418</v>
      </c>
      <c r="G108" s="19" t="s">
        <v>417</v>
      </c>
      <c r="I108" s="19">
        <v>1</v>
      </c>
    </row>
    <row r="109" spans="1:9" x14ac:dyDescent="0.55000000000000004">
      <c r="A109" s="19" t="str">
        <f>Table3[[#This Row],[Name]]</f>
        <v>B27 (1p) ConL new O3</v>
      </c>
      <c r="C109" s="19" t="str">
        <f>Table3[[#This Row],[Sequence]]</f>
        <v>CTAACGCGGCCTTTTTTTGTTTCTGGTCTgCC</v>
      </c>
      <c r="E109" s="19">
        <v>2.5000000000000001E-2</v>
      </c>
      <c r="F109" s="19" t="s">
        <v>418</v>
      </c>
      <c r="G109" s="19" t="s">
        <v>417</v>
      </c>
      <c r="I109" s="19">
        <v>1</v>
      </c>
    </row>
    <row r="110" spans="1:9" x14ac:dyDescent="0.55000000000000004">
      <c r="A110" s="19" t="str">
        <f>Table3[[#This Row],[Name]]</f>
        <v>B28 (1p) ConL new O4</v>
      </c>
      <c r="C110" s="19" t="str">
        <f>Table3[[#This Row],[Sequence]]</f>
        <v>ttaatcaatgactaaGAATTCGCGGCCGCTTCTAGAGggtCTCG</v>
      </c>
      <c r="E110" s="19">
        <v>2.5000000000000001E-2</v>
      </c>
      <c r="F110" s="19" t="s">
        <v>418</v>
      </c>
      <c r="G110" s="19" t="s">
        <v>417</v>
      </c>
      <c r="I110" s="19">
        <v>1</v>
      </c>
    </row>
    <row r="111" spans="1:9" x14ac:dyDescent="0.55000000000000004">
      <c r="A111" s="19" t="str">
        <f>Table3[[#This Row],[Name]]</f>
        <v>B29 (1p) ConL new O6</v>
      </c>
      <c r="C111" s="19" t="str">
        <f>Table3[[#This Row],[Sequence]]</f>
        <v>CCGCGTTAGCGGCCTTCAATAATTGG</v>
      </c>
      <c r="E111" s="19">
        <v>2.5000000000000001E-2</v>
      </c>
      <c r="F111" s="19" t="s">
        <v>418</v>
      </c>
      <c r="G111" s="19" t="s">
        <v>417</v>
      </c>
      <c r="I111" s="19">
        <v>1</v>
      </c>
    </row>
    <row r="112" spans="1:9" x14ac:dyDescent="0.55000000000000004">
      <c r="A112" s="19" t="str">
        <f>Table3[[#This Row],[Name]]</f>
        <v>B30 (1p) ConL new O7</v>
      </c>
      <c r="C112" s="19" t="str">
        <f>Table3[[#This Row],[Sequence]]</f>
        <v>ttagtcattgattaaGGcAGACCAGAAACAAAAAAAGG</v>
      </c>
      <c r="E112" s="19">
        <v>2.5000000000000001E-2</v>
      </c>
      <c r="F112" s="19" t="s">
        <v>418</v>
      </c>
      <c r="G112" s="19" t="s">
        <v>417</v>
      </c>
      <c r="I112" s="19">
        <v>1</v>
      </c>
    </row>
    <row r="113" spans="1:9" x14ac:dyDescent="0.55000000000000004">
      <c r="A113" s="19" t="str">
        <f>Table3[[#This Row],[Name]]</f>
        <v>B31 (1p) ConL new O8</v>
      </c>
      <c r="C113" s="19" t="str">
        <f>Table3[[#This Row],[Sequence]]</f>
        <v>CTCTCGAGaccCTCTAGAAGCGGCCGCGAATTC</v>
      </c>
      <c r="E113" s="19">
        <v>2.5000000000000001E-2</v>
      </c>
      <c r="F113" s="19" t="s">
        <v>418</v>
      </c>
      <c r="G113" s="19" t="s">
        <v>417</v>
      </c>
      <c r="I113" s="19">
        <v>1</v>
      </c>
    </row>
    <row r="114" spans="1:9" x14ac:dyDescent="0.55000000000000004">
      <c r="A114" s="19" t="str">
        <f>Table3[[#This Row],[Name]]</f>
        <v>B32 (6p) ConR new O1</v>
      </c>
      <c r="C114" s="19" t="str">
        <f>Table3[[#This Row],[Sequence]]</f>
        <v>CTCgAGAGaccTACTAGTAGCGGCCGCTGCAGttaatcactgattaa</v>
      </c>
      <c r="E114" s="19">
        <v>2.5000000000000001E-2</v>
      </c>
      <c r="F114" s="19" t="s">
        <v>418</v>
      </c>
      <c r="G114" s="19" t="s">
        <v>417</v>
      </c>
      <c r="I114" s="19">
        <v>1</v>
      </c>
    </row>
    <row r="115" spans="1:9" x14ac:dyDescent="0.55000000000000004">
      <c r="A115" s="19" t="str">
        <f>Table3[[#This Row],[Name]]</f>
        <v>B33 (6p) ConR new O5</v>
      </c>
      <c r="C115" s="19" t="str">
        <f>Table3[[#This Row],[Sequence]]</f>
        <v>TTTGGTACCGAGttaatcagtgattaaCTGCAGCGGCCGCTACTAGTAggtCTCT</v>
      </c>
      <c r="E115" s="19">
        <v>2.5000000000000001E-2</v>
      </c>
      <c r="F115" s="19" t="s">
        <v>418</v>
      </c>
      <c r="G115" s="19" t="s">
        <v>417</v>
      </c>
      <c r="I115" s="19">
        <v>1</v>
      </c>
    </row>
    <row r="116" spans="1:9" x14ac:dyDescent="0.55000000000000004">
      <c r="A116" s="19" t="str">
        <f>Table3[[#This Row],[Name]]</f>
        <v>B34 (6p) ConR new O1a</v>
      </c>
      <c r="C116" s="19" t="str">
        <f>Table3[[#This Row],[Sequence]]</f>
        <v>CTCgAGAGaccTACTAGTAGCG</v>
      </c>
      <c r="E116" s="19">
        <v>2.5000000000000001E-2</v>
      </c>
      <c r="F116" s="19" t="s">
        <v>418</v>
      </c>
      <c r="G116" s="19" t="s">
        <v>417</v>
      </c>
      <c r="I116" s="19">
        <v>1</v>
      </c>
    </row>
    <row r="117" spans="1:9" x14ac:dyDescent="0.55000000000000004">
      <c r="A117" s="19" t="str">
        <f>Table3[[#This Row],[Name]]</f>
        <v>B35 (6p) ConR new O1b</v>
      </c>
      <c r="C117" s="19" t="str">
        <f>Table3[[#This Row],[Sequence]]</f>
        <v>GCCGCTGCAGttaatcactgatt</v>
      </c>
      <c r="E117" s="19">
        <v>2.5000000000000001E-2</v>
      </c>
      <c r="F117" s="19" t="s">
        <v>418</v>
      </c>
      <c r="G117" s="19" t="s">
        <v>417</v>
      </c>
      <c r="I117" s="19">
        <v>1</v>
      </c>
    </row>
    <row r="118" spans="1:9" x14ac:dyDescent="0.55000000000000004">
      <c r="A118" s="19" t="str">
        <f>Table3[[#This Row],[Name]]</f>
        <v>B36 (6p) ConR new O2</v>
      </c>
      <c r="C118" s="19" t="str">
        <f>Table3[[#This Row],[Sequence]]</f>
        <v>aaCTCGGTACCAAATTCCAGAAAAGAGGCCTCCCGAAA</v>
      </c>
      <c r="E118" s="19">
        <v>2.5000000000000001E-2</v>
      </c>
      <c r="F118" s="19" t="s">
        <v>418</v>
      </c>
      <c r="G118" s="19" t="s">
        <v>417</v>
      </c>
      <c r="I118" s="19">
        <v>1</v>
      </c>
    </row>
    <row r="119" spans="1:9" x14ac:dyDescent="0.55000000000000004">
      <c r="A119" s="19" t="str">
        <f>Table3[[#This Row],[Name]]</f>
        <v>B37 (6p) ConR new O5a</v>
      </c>
      <c r="C119" s="19" t="str">
        <f>Table3[[#This Row],[Sequence]]</f>
        <v>ttaaCTGCAGCGGCCGCTACTAGTAggtCTCT</v>
      </c>
      <c r="E119" s="19">
        <v>2.5000000000000001E-2</v>
      </c>
      <c r="F119" s="19" t="s">
        <v>418</v>
      </c>
      <c r="G119" s="19" t="s">
        <v>417</v>
      </c>
      <c r="I119" s="19">
        <v>1</v>
      </c>
    </row>
    <row r="120" spans="1:9" x14ac:dyDescent="0.55000000000000004">
      <c r="A120" s="19" t="str">
        <f>Table3[[#This Row],[Name]]</f>
        <v>B38 (6p) ConR new O5b</v>
      </c>
      <c r="C120" s="19" t="str">
        <f>Table3[[#This Row],[Sequence]]</f>
        <v>TTTGGTACCGAGttaatcagt</v>
      </c>
      <c r="E120" s="19">
        <v>2.5000000000000001E-2</v>
      </c>
      <c r="F120" s="19" t="s">
        <v>418</v>
      </c>
      <c r="G120" s="19" t="s">
        <v>417</v>
      </c>
      <c r="I120" s="19">
        <v>1</v>
      </c>
    </row>
    <row r="121" spans="1:9" x14ac:dyDescent="0.55000000000000004">
      <c r="A121" s="19" t="str">
        <f>Table3[[#This Row],[Name]]</f>
        <v>B39 (4) vioA P1</v>
      </c>
      <c r="C121" s="19" t="str">
        <f>Table3[[#This Row],[Sequence]]</f>
        <v>cgatCGTCTCactcgAATGAAACATTCTTCCGATATCTG</v>
      </c>
      <c r="E121" s="19">
        <v>2.5000000000000001E-2</v>
      </c>
      <c r="F121" s="19" t="s">
        <v>418</v>
      </c>
      <c r="G121" s="19" t="s">
        <v>417</v>
      </c>
      <c r="I121" s="19">
        <v>1</v>
      </c>
    </row>
    <row r="122" spans="1:9" x14ac:dyDescent="0.55000000000000004">
      <c r="A122" s="19" t="str">
        <f>Table3[[#This Row],[Name]]</f>
        <v>B40 (4) vioA P2</v>
      </c>
      <c r="C122" s="19" t="str">
        <f>Table3[[#This Row],[Sequence]]</f>
        <v>gcatCGTCTCactctGCCAttaCGCGGCGATACGCTGCA</v>
      </c>
      <c r="E122" s="19">
        <v>2.5000000000000001E-2</v>
      </c>
      <c r="F122" s="19" t="s">
        <v>418</v>
      </c>
      <c r="G122" s="19" t="s">
        <v>417</v>
      </c>
      <c r="I122" s="19">
        <v>1</v>
      </c>
    </row>
    <row r="123" spans="1:9" x14ac:dyDescent="0.55000000000000004">
      <c r="A123" s="19" t="str">
        <f>Table3[[#This Row],[Name]]</f>
        <v>B41 (4) vioB P1</v>
      </c>
      <c r="C123" s="19" t="str">
        <f>Table3[[#This Row],[Sequence]]</f>
        <v>cgatCGTCTCactcgAATGAGCATTCTGGATTTCC</v>
      </c>
      <c r="E123" s="19">
        <v>2.5000000000000001E-2</v>
      </c>
      <c r="F123" s="19" t="s">
        <v>418</v>
      </c>
      <c r="G123" s="19" t="s">
        <v>417</v>
      </c>
      <c r="I123" s="19">
        <v>1</v>
      </c>
    </row>
    <row r="124" spans="1:9" x14ac:dyDescent="0.55000000000000004">
      <c r="A124" s="19" t="str">
        <f>Table3[[#This Row],[Name]]</f>
        <v>B42 (4) vioB P2</v>
      </c>
      <c r="C124" s="19" t="str">
        <f>Table3[[#This Row],[Sequence]]</f>
        <v>gcatCGTCTCactctGCCAttaGGCCTCGCGGCTCAGTTTG</v>
      </c>
      <c r="E124" s="19">
        <v>2.5000000000000001E-2</v>
      </c>
      <c r="F124" s="19" t="s">
        <v>418</v>
      </c>
      <c r="G124" s="19" t="s">
        <v>417</v>
      </c>
      <c r="I124" s="19">
        <v>1</v>
      </c>
    </row>
    <row r="125" spans="1:9" x14ac:dyDescent="0.55000000000000004">
      <c r="A125" s="19" t="str">
        <f>Table3[[#This Row],[Name]]</f>
        <v>B43 (4) vioE P1</v>
      </c>
      <c r="C125" s="19" t="str">
        <f>Table3[[#This Row],[Sequence]]</f>
        <v>cgatCGTCTCactcgAATGGAGAACCGTGAGCCA</v>
      </c>
      <c r="E125" s="19">
        <v>2.5000000000000001E-2</v>
      </c>
      <c r="F125" s="19" t="s">
        <v>418</v>
      </c>
      <c r="G125" s="19" t="s">
        <v>417</v>
      </c>
      <c r="I125" s="19">
        <v>1</v>
      </c>
    </row>
    <row r="126" spans="1:9" x14ac:dyDescent="0.55000000000000004">
      <c r="A126" s="19" t="str">
        <f>Table3[[#This Row],[Name]]</f>
        <v>B44 (4) vioE P2</v>
      </c>
      <c r="C126" s="19" t="str">
        <f>Table3[[#This Row],[Sequence]]</f>
        <v>gcatCGTCTCactctGCCAttaGCGCTTGGCCGCGAAAACC</v>
      </c>
      <c r="E126" s="19">
        <v>2.5000000000000001E-2</v>
      </c>
      <c r="F126" s="19" t="s">
        <v>418</v>
      </c>
      <c r="G126" s="19" t="s">
        <v>417</v>
      </c>
      <c r="I126" s="19">
        <v>1</v>
      </c>
    </row>
    <row r="127" spans="1:9" x14ac:dyDescent="0.55000000000000004">
      <c r="A127" s="19" t="str">
        <f>Table3[[#This Row],[Name]]</f>
        <v>B45 (4) vioD P1</v>
      </c>
      <c r="C127" s="19" t="str">
        <f>Table3[[#This Row],[Sequence]]</f>
        <v>cgatCGTCTCactcgAATGaagattctggtcattggt</v>
      </c>
      <c r="E127" s="19">
        <v>2.5000000000000001E-2</v>
      </c>
      <c r="F127" s="19" t="s">
        <v>418</v>
      </c>
      <c r="G127" s="19" t="s">
        <v>417</v>
      </c>
      <c r="I127" s="19">
        <v>1</v>
      </c>
    </row>
    <row r="128" spans="1:9" x14ac:dyDescent="0.55000000000000004">
      <c r="A128" s="19" t="str">
        <f>Table3[[#This Row],[Name]]</f>
        <v>B46 (4) vioD P2</v>
      </c>
      <c r="C128" s="19" t="str">
        <f>Table3[[#This Row],[Sequence]]</f>
        <v>gcatCGTCTCactctGCCAttagcgctgcaaagcataacg</v>
      </c>
      <c r="E128" s="19">
        <v>2.5000000000000001E-2</v>
      </c>
      <c r="F128" s="19" t="s">
        <v>418</v>
      </c>
      <c r="G128" s="19" t="s">
        <v>417</v>
      </c>
      <c r="I128" s="19">
        <v>1</v>
      </c>
    </row>
    <row r="129" spans="1:9" x14ac:dyDescent="0.55000000000000004">
      <c r="A129" s="19" t="str">
        <f>Table3[[#This Row],[Name]]</f>
        <v>B47 (4) vioC P1</v>
      </c>
      <c r="C129" s="19" t="str">
        <f>Table3[[#This Row],[Sequence]]</f>
        <v>cgatCGTCTCactcgAATGaaacgtgcgattatcg</v>
      </c>
      <c r="E129" s="19">
        <v>2.5000000000000001E-2</v>
      </c>
      <c r="F129" s="19" t="s">
        <v>418</v>
      </c>
      <c r="G129" s="19" t="s">
        <v>417</v>
      </c>
      <c r="I129" s="19">
        <v>1</v>
      </c>
    </row>
    <row r="130" spans="1:9" x14ac:dyDescent="0.55000000000000004">
      <c r="A130" s="19" t="str">
        <f>Table3[[#This Row],[Name]]</f>
        <v>B48 (4) vioC P2</v>
      </c>
      <c r="C130" s="19" t="str">
        <f>Table3[[#This Row],[Sequence]]</f>
        <v>gcatCGTCTCactctGCCAttaattcacgcgaccaatcttg</v>
      </c>
      <c r="E130" s="19">
        <v>2.5000000000000001E-2</v>
      </c>
      <c r="F130" s="19" t="s">
        <v>418</v>
      </c>
      <c r="G130" s="19" t="s">
        <v>417</v>
      </c>
      <c r="I130" s="19">
        <v>1</v>
      </c>
    </row>
    <row r="131" spans="1:9" x14ac:dyDescent="0.55000000000000004">
      <c r="A131" s="19" t="str">
        <f>Table3[[#This Row],[Name]]</f>
        <v>B49 (5-1p) ChlR ConX vector P1</v>
      </c>
      <c r="C131" s="19" t="str">
        <f>Table3[[#This Row],[Sequence]]</f>
        <v>gataCGTCTCaAGAGacctaaGCGGCCGCaccaataaaaaacgcccg</v>
      </c>
      <c r="E131" s="19">
        <v>2.5000000000000001E-2</v>
      </c>
      <c r="F131" s="19" t="s">
        <v>418</v>
      </c>
      <c r="G131" s="19" t="s">
        <v>417</v>
      </c>
      <c r="I131" s="19">
        <v>1</v>
      </c>
    </row>
    <row r="132" spans="1:9" x14ac:dyDescent="0.55000000000000004">
      <c r="A132" s="19" t="str">
        <f>Table3[[#This Row],[Name]]</f>
        <v>B50 (5-1p) pUC ConX vector P2</v>
      </c>
      <c r="C132" s="19" t="str">
        <f>Table3[[#This Row],[Sequence]]</f>
        <v>gataCGTCTCaCGAGaccGCGGCCGCatgtgagcaaaaggccag</v>
      </c>
      <c r="E132" s="19">
        <v>2.5000000000000001E-2</v>
      </c>
      <c r="F132" s="19" t="s">
        <v>418</v>
      </c>
      <c r="G132" s="19" t="s">
        <v>417</v>
      </c>
      <c r="I132" s="19">
        <v>1</v>
      </c>
    </row>
    <row r="133" spans="1:9" x14ac:dyDescent="0.55000000000000004">
      <c r="A133" s="19" t="str">
        <f>Table3[[#This Row],[Name]]</f>
        <v>B51 (9) ColE1_pET P4</v>
      </c>
      <c r="C133" s="19" t="str">
        <f>Table3[[#This Row],[Sequence]]</f>
        <v>atgcCGTCTCactctCCGTttcatcatcagtaacccgt</v>
      </c>
      <c r="E133" s="19">
        <v>2.5000000000000001E-2</v>
      </c>
      <c r="F133" s="19" t="s">
        <v>418</v>
      </c>
      <c r="G133" s="19" t="s">
        <v>417</v>
      </c>
      <c r="I133" s="19">
        <v>1</v>
      </c>
    </row>
    <row r="134" spans="1:9" x14ac:dyDescent="0.55000000000000004">
      <c r="A134" s="19" t="str">
        <f>Table3[[#This Row],[Name]]</f>
        <v>B52 (78.x) spacer</v>
      </c>
      <c r="C134" s="19" t="str">
        <f>Table3[[#This Row],[Sequence]]</f>
        <v>TACAttcagttccacaGGTACCcagaaggtgctt</v>
      </c>
      <c r="E134" s="19">
        <v>2.5000000000000001E-2</v>
      </c>
      <c r="F134" s="19" t="s">
        <v>418</v>
      </c>
      <c r="G134" s="19" t="s">
        <v>417</v>
      </c>
      <c r="I134" s="19">
        <v>1</v>
      </c>
    </row>
    <row r="135" spans="1:9" x14ac:dyDescent="0.55000000000000004">
      <c r="A135" s="19" t="str">
        <f>Table3[[#This Row],[Name]]</f>
        <v>B53 (89.x) spacer</v>
      </c>
      <c r="C135" s="19" t="str">
        <f>Table3[[#This Row],[Sequence]]</f>
        <v>CCGTaagcaccttctgGGTACCtgtggaactgaa</v>
      </c>
      <c r="E135" s="19">
        <v>2.5000000000000001E-2</v>
      </c>
      <c r="F135" s="19" t="s">
        <v>418</v>
      </c>
      <c r="G135" s="19" t="s">
        <v>417</v>
      </c>
      <c r="I135" s="19">
        <v>1</v>
      </c>
    </row>
    <row r="136" spans="1:9" x14ac:dyDescent="0.55000000000000004">
      <c r="A136" s="19" t="str">
        <f>Table3[[#This Row],[Name]]</f>
        <v>B54 (8) lacI P1</v>
      </c>
      <c r="C136" s="19" t="str">
        <f>Table3[[#This Row],[Sequence]]</f>
        <v>cgatCGTCTCactcgGAGTggtgcctaatgagtgagc</v>
      </c>
      <c r="E136" s="19">
        <v>2.5000000000000001E-2</v>
      </c>
      <c r="F136" s="19" t="s">
        <v>418</v>
      </c>
      <c r="G136" s="19" t="s">
        <v>417</v>
      </c>
      <c r="I136" s="19">
        <v>1</v>
      </c>
    </row>
    <row r="137" spans="1:9" x14ac:dyDescent="0.55000000000000004">
      <c r="A137" s="19" t="str">
        <f>Table3[[#This Row],[Name]]</f>
        <v>B55 (8) lacI P2</v>
      </c>
      <c r="C137" s="19" t="str">
        <f>Table3[[#This Row],[Sequence]]</f>
        <v>atgcCGTCTCaCGTttcactggtgaaaagaaaaacc</v>
      </c>
      <c r="E137" s="19">
        <v>2.5000000000000001E-2</v>
      </c>
      <c r="F137" s="19" t="s">
        <v>418</v>
      </c>
      <c r="G137" s="19" t="s">
        <v>417</v>
      </c>
      <c r="I137" s="19">
        <v>1</v>
      </c>
    </row>
    <row r="138" spans="1:9" x14ac:dyDescent="0.55000000000000004">
      <c r="A138" s="19" t="str">
        <f>Table3[[#This Row],[Name]]</f>
        <v>B56 (8) lacI P3</v>
      </c>
      <c r="C138" s="19" t="str">
        <f>Table3[[#This Row],[Sequence]]</f>
        <v>gcatCGTCTCaaACGggcaacagctgattg</v>
      </c>
      <c r="E138" s="19">
        <v>2.5000000000000001E-2</v>
      </c>
      <c r="F138" s="19" t="s">
        <v>418</v>
      </c>
      <c r="G138" s="19" t="s">
        <v>417</v>
      </c>
      <c r="I138" s="19">
        <v>1</v>
      </c>
    </row>
    <row r="139" spans="1:9" x14ac:dyDescent="0.55000000000000004">
      <c r="A139" s="19" t="str">
        <f>Table3[[#This Row],[Name]]</f>
        <v>B57 (8) lacI P4</v>
      </c>
      <c r="C139" s="19" t="str">
        <f>Table3[[#This Row],[Sequence]]</f>
        <v>atcgCGTCTCactctTTGGttcctaatgcaggagtcg</v>
      </c>
      <c r="E139" s="19">
        <v>2.5000000000000001E-2</v>
      </c>
      <c r="F139" s="19" t="s">
        <v>418</v>
      </c>
      <c r="G139" s="19" t="s">
        <v>417</v>
      </c>
      <c r="I139" s="19">
        <v>1</v>
      </c>
    </row>
    <row r="140" spans="1:9" x14ac:dyDescent="0.55000000000000004">
      <c r="A140" s="19" t="str">
        <f>Table3[[#This Row],[Name]]</f>
        <v>B58 (4ab) sfgfp P1</v>
      </c>
      <c r="C140" s="19" t="str">
        <f>Table3[[#This Row],[Sequence]]</f>
        <v>cgatCGTCTCactcgAATGCGTAAAGGCGAAGAG</v>
      </c>
      <c r="E140" s="19">
        <v>2.5000000000000001E-2</v>
      </c>
      <c r="F140" s="19" t="s">
        <v>418</v>
      </c>
      <c r="G140" s="19" t="s">
        <v>417</v>
      </c>
      <c r="I140" s="19">
        <v>1</v>
      </c>
    </row>
    <row r="141" spans="1:9" x14ac:dyDescent="0.55000000000000004">
      <c r="A141" s="19" t="str">
        <f>Table3[[#This Row],[Name]]</f>
        <v>B59 (4ab) sfgfp P2</v>
      </c>
      <c r="C141" s="19" t="str">
        <f>Table3[[#This Row],[Sequence]]</f>
        <v>atgcCGTCTCactctAGATccTTTGTACAGTTCATCCATACC</v>
      </c>
      <c r="E141" s="19">
        <v>2.5000000000000001E-2</v>
      </c>
      <c r="F141" s="19" t="s">
        <v>418</v>
      </c>
      <c r="G141" s="19" t="s">
        <v>417</v>
      </c>
      <c r="I141" s="19">
        <v>1</v>
      </c>
    </row>
    <row r="142" spans="1:9" x14ac:dyDescent="0.55000000000000004">
      <c r="A142" s="19" t="str">
        <f>Table3[[#This Row],[Name]]</f>
        <v>B60 (5) L3S2P55_Str3 O1</v>
      </c>
      <c r="C142" s="19" t="str">
        <f>Table3[[#This Row],[Sequence]]</f>
        <v>CTCGTGGCctcggtaccaaagacgAACAATAAGACGCTGAAAAGC</v>
      </c>
      <c r="E142" s="19">
        <v>2.5000000000000001E-2</v>
      </c>
      <c r="F142" s="19" t="s">
        <v>418</v>
      </c>
      <c r="G142" s="19" t="s">
        <v>417</v>
      </c>
      <c r="I142" s="19">
        <v>1</v>
      </c>
    </row>
    <row r="143" spans="1:9" x14ac:dyDescent="0.55000000000000004">
      <c r="A143" s="19" t="str">
        <f>Table3[[#This Row],[Name]]</f>
        <v>B61 (5) L3S2P55_Str3 O2</v>
      </c>
      <c r="C143" s="19" t="str">
        <f>Table3[[#This Row],[Sequence]]</f>
        <v>gtcttttttcgttttggtccGCTG</v>
      </c>
      <c r="E143" s="19">
        <v>2.5000000000000001E-2</v>
      </c>
      <c r="F143" s="19" t="s">
        <v>418</v>
      </c>
      <c r="G143" s="19" t="s">
        <v>417</v>
      </c>
      <c r="I143" s="19">
        <v>1</v>
      </c>
    </row>
    <row r="144" spans="1:9" x14ac:dyDescent="0.55000000000000004">
      <c r="A144" s="19" t="str">
        <f>Table3[[#This Row],[Name]]</f>
        <v>B62 (5) L3S2P55_Str3 O3</v>
      </c>
      <c r="C144" s="19" t="str">
        <f>Table3[[#This Row],[Sequence]]</f>
        <v>CTCTCAGCggaccaaaacgaaaaaagacGCTTTTCAGCGTC</v>
      </c>
      <c r="E144" s="19">
        <v>2.5000000000000001E-2</v>
      </c>
      <c r="F144" s="19" t="s">
        <v>418</v>
      </c>
      <c r="G144" s="19" t="s">
        <v>417</v>
      </c>
      <c r="I144" s="19">
        <v>1</v>
      </c>
    </row>
    <row r="145" spans="1:9" x14ac:dyDescent="0.55000000000000004">
      <c r="A145" s="19" t="str">
        <f>Table3[[#This Row],[Name]]</f>
        <v>B63 (5) L3S2P55_Str3 O4</v>
      </c>
      <c r="C145" s="19" t="str">
        <f>Table3[[#This Row],[Sequence]]</f>
        <v>TTATTGTTcgtctttggtaccgagGCCA</v>
      </c>
      <c r="E145" s="19">
        <v>2.5000000000000001E-2</v>
      </c>
      <c r="F145" s="19" t="s">
        <v>418</v>
      </c>
      <c r="G145" s="19" t="s">
        <v>417</v>
      </c>
      <c r="I145" s="19">
        <v>1</v>
      </c>
    </row>
    <row r="146" spans="1:9" x14ac:dyDescent="0.55000000000000004">
      <c r="A146" s="19" t="str">
        <f>Table3[[#This Row],[Name]]</f>
        <v>B64 (5) L3S3P21_Str4 O1</v>
      </c>
      <c r="C146" s="19" t="str">
        <f>Table3[[#This Row],[Sequence]]</f>
        <v>CTCGTGGCccaattattgaaggcc</v>
      </c>
      <c r="E146" s="19">
        <v>2.5000000000000001E-2</v>
      </c>
      <c r="F146" s="19" t="s">
        <v>418</v>
      </c>
      <c r="G146" s="19" t="s">
        <v>417</v>
      </c>
      <c r="I146" s="19">
        <v>1</v>
      </c>
    </row>
    <row r="147" spans="1:9" x14ac:dyDescent="0.55000000000000004">
      <c r="A147" s="19" t="str">
        <f>Table3[[#This Row],[Name]]</f>
        <v>B65 (5) L3S3P21_Str4 O2</v>
      </c>
      <c r="C147" s="19" t="str">
        <f>Table3[[#This Row],[Sequence]]</f>
        <v>tccctaacggggggcctttttttgtttctggtctGccGCTG</v>
      </c>
      <c r="E147" s="19">
        <v>2.5000000000000001E-2</v>
      </c>
      <c r="F147" s="19" t="s">
        <v>418</v>
      </c>
      <c r="G147" s="19" t="s">
        <v>417</v>
      </c>
      <c r="I147" s="19">
        <v>1</v>
      </c>
    </row>
    <row r="148" spans="1:9" x14ac:dyDescent="0.55000000000000004">
      <c r="A148" s="19" t="str">
        <f>Table3[[#This Row],[Name]]</f>
        <v>B66 (5) L3S3P21_Str4 O3</v>
      </c>
      <c r="C148" s="19" t="str">
        <f>Table3[[#This Row],[Sequence]]</f>
        <v>CTCTCAGCggCagaccagaaacaa</v>
      </c>
      <c r="E148" s="19">
        <v>2.5000000000000001E-2</v>
      </c>
      <c r="F148" s="19" t="s">
        <v>418</v>
      </c>
      <c r="G148" s="19" t="s">
        <v>417</v>
      </c>
      <c r="I148" s="19">
        <v>1</v>
      </c>
    </row>
    <row r="149" spans="1:9" x14ac:dyDescent="0.55000000000000004">
      <c r="A149" s="19" t="str">
        <f>Table3[[#This Row],[Name]]</f>
        <v>B67 (5) L3S3P21_Str4 O4</v>
      </c>
      <c r="C149" s="19" t="str">
        <f>Table3[[#This Row],[Sequence]]</f>
        <v>aaaaaggccccccgttagggaggccttcaataattggGCCA</v>
      </c>
      <c r="E149" s="19">
        <v>2.5000000000000001E-2</v>
      </c>
      <c r="F149" s="19" t="s">
        <v>418</v>
      </c>
      <c r="G149" s="19" t="s">
        <v>417</v>
      </c>
      <c r="I149" s="19">
        <v>1</v>
      </c>
    </row>
    <row r="150" spans="1:9" x14ac:dyDescent="0.55000000000000004">
      <c r="A150" s="19" t="str">
        <f>Table3[[#This Row],[Name]]</f>
        <v>B68 (5) L3S3P00_Str6 O1</v>
      </c>
      <c r="C150" s="19" t="str">
        <f>Table3[[#This Row],[Sequence]]</f>
        <v>CTCGTGGCccaattattgaaggggagcgggaaaccgct</v>
      </c>
      <c r="E150" s="19">
        <v>2.5000000000000001E-2</v>
      </c>
      <c r="F150" s="19" t="s">
        <v>418</v>
      </c>
      <c r="G150" s="19" t="s">
        <v>417</v>
      </c>
      <c r="I150" s="19">
        <v>1</v>
      </c>
    </row>
    <row r="151" spans="1:9" x14ac:dyDescent="0.55000000000000004">
      <c r="A151" s="19" t="str">
        <f>Table3[[#This Row],[Name]]</f>
        <v>B69 (5) L3S3P00_Str6 O2</v>
      </c>
      <c r="C151" s="19" t="str">
        <f>Table3[[#This Row],[Sequence]]</f>
        <v>cccctttttttgtttctggtctGccGCTGAGAG</v>
      </c>
      <c r="E151" s="19">
        <v>2.5000000000000001E-2</v>
      </c>
      <c r="F151" s="19" t="s">
        <v>418</v>
      </c>
      <c r="G151" s="19" t="s">
        <v>417</v>
      </c>
      <c r="I151" s="19">
        <v>1</v>
      </c>
    </row>
    <row r="152" spans="1:9" x14ac:dyDescent="0.55000000000000004">
      <c r="A152" s="19" t="str">
        <f>Table3[[#This Row],[Name]]</f>
        <v>B70 (5) L3S3P00_Str6 O3</v>
      </c>
      <c r="C152" s="19" t="str">
        <f>Table3[[#This Row],[Sequence]]</f>
        <v>TTTCCCGCTCCCCTTCAATAATTGGGCCACGAG</v>
      </c>
      <c r="E152" s="19">
        <v>2.5000000000000001E-2</v>
      </c>
      <c r="F152" s="19" t="s">
        <v>418</v>
      </c>
      <c r="G152" s="19" t="s">
        <v>417</v>
      </c>
      <c r="I152" s="19">
        <v>1</v>
      </c>
    </row>
    <row r="153" spans="1:9" x14ac:dyDescent="0.55000000000000004">
      <c r="A153" s="19" t="str">
        <f>Table3[[#This Row],[Name]]</f>
        <v>B71 (5) L3S3P00_Str6 O4</v>
      </c>
      <c r="C153" s="19" t="str">
        <f>Table3[[#This Row],[Sequence]]</f>
        <v>CTCTCAGCggCagaccagaaacaaaaaaaggggagcgg</v>
      </c>
      <c r="E153" s="19">
        <v>2.5000000000000001E-2</v>
      </c>
      <c r="F153" s="19" t="s">
        <v>418</v>
      </c>
      <c r="G153" s="19" t="s">
        <v>417</v>
      </c>
      <c r="I153" s="19">
        <v>1</v>
      </c>
    </row>
    <row r="154" spans="1:9" x14ac:dyDescent="0.55000000000000004">
      <c r="A154" s="19" t="str">
        <f>Table3[[#This Row],[Name]]</f>
        <v>B72 (9) pSC101 P1</v>
      </c>
      <c r="C154" s="19" t="str">
        <f>Table3[[#This Row],[Sequence]]</f>
        <v>atgcCGTCTCactcgCCAAgttacattgtcgatctgttca</v>
      </c>
      <c r="E154" s="19">
        <v>2.5000000000000001E-2</v>
      </c>
      <c r="F154" s="19" t="s">
        <v>418</v>
      </c>
      <c r="G154" s="19" t="s">
        <v>417</v>
      </c>
      <c r="I154" s="19">
        <v>1</v>
      </c>
    </row>
    <row r="155" spans="1:9" x14ac:dyDescent="0.55000000000000004">
      <c r="A155" s="19" t="str">
        <f>Table3[[#This Row],[Name]]</f>
        <v>B73 (9) pSC101ts P2</v>
      </c>
      <c r="C155" s="19" t="str">
        <f>Table3[[#This Row],[Sequence]]</f>
        <v>gcatCGTCTCaCTACgTAACGGACTAAGAAAAACACTAC</v>
      </c>
      <c r="E155" s="19">
        <v>2.5000000000000001E-2</v>
      </c>
      <c r="F155" s="19" t="s">
        <v>418</v>
      </c>
      <c r="G155" s="19" t="s">
        <v>417</v>
      </c>
      <c r="I155" s="19">
        <v>1</v>
      </c>
    </row>
    <row r="156" spans="1:9" x14ac:dyDescent="0.55000000000000004">
      <c r="A156" s="19" t="str">
        <f>Table3[[#This Row],[Name]]</f>
        <v>B74 (9) pSC101ts P3</v>
      </c>
      <c r="C156" s="19" t="str">
        <f>Table3[[#This Row],[Sequence]]</f>
        <v>atgcCGTCTCaGTAGGTAGGAATCTGATGTAATG</v>
      </c>
      <c r="E156" s="19">
        <v>2.5000000000000001E-2</v>
      </c>
      <c r="F156" s="19" t="s">
        <v>418</v>
      </c>
      <c r="G156" s="19" t="s">
        <v>417</v>
      </c>
      <c r="I156" s="19">
        <v>1</v>
      </c>
    </row>
    <row r="157" spans="1:9" x14ac:dyDescent="0.55000000000000004">
      <c r="A157" s="19" t="str">
        <f>Table3[[#This Row],[Name]]</f>
        <v>B75 (9) pSC101 P4</v>
      </c>
      <c r="C157" s="19" t="str">
        <f>Table3[[#This Row],[Sequence]]</f>
        <v>gcatCGTCTCAaggactaGTAATTATCATTGACTAGCCCAT</v>
      </c>
      <c r="E157" s="19">
        <v>2.5000000000000001E-2</v>
      </c>
      <c r="F157" s="19" t="s">
        <v>418</v>
      </c>
      <c r="G157" s="19" t="s">
        <v>417</v>
      </c>
      <c r="I157" s="19">
        <v>1</v>
      </c>
    </row>
    <row r="158" spans="1:9" x14ac:dyDescent="0.55000000000000004">
      <c r="A158" s="19" t="str">
        <f>Table3[[#This Row],[Name]]</f>
        <v>B76 (9) pSC101 P5</v>
      </c>
      <c r="C158" s="19" t="str">
        <f>Table3[[#This Row],[Sequence]]</f>
        <v>atgcCGTCTCAtccttttcctttgagttgtg</v>
      </c>
      <c r="E158" s="19">
        <v>2.5000000000000001E-2</v>
      </c>
      <c r="F158" s="19" t="s">
        <v>418</v>
      </c>
      <c r="G158" s="19" t="s">
        <v>417</v>
      </c>
      <c r="I158" s="19">
        <v>1</v>
      </c>
    </row>
    <row r="159" spans="1:9" x14ac:dyDescent="0.55000000000000004">
      <c r="A159" s="19" t="str">
        <f>Table3[[#This Row],[Name]]</f>
        <v>B77 (9) pSC101 P6</v>
      </c>
      <c r="C159" s="19" t="str">
        <f>Table3[[#This Row],[Sequence]]</f>
        <v>gcatCGTCTCactctCCGTgacagtaagacgggtaagc</v>
      </c>
      <c r="E159" s="19">
        <v>2.5000000000000001E-2</v>
      </c>
      <c r="F159" s="19" t="s">
        <v>418</v>
      </c>
      <c r="G159" s="19" t="s">
        <v>417</v>
      </c>
      <c r="I159" s="19">
        <v>1</v>
      </c>
    </row>
    <row r="160" spans="1:9" x14ac:dyDescent="0.55000000000000004">
      <c r="A160" s="19" t="str">
        <f>Table3[[#This Row],[Name]]</f>
        <v>B78 (2-5) Ptet-Mf.lon cas P1</v>
      </c>
      <c r="C160" s="19" t="str">
        <f>Table3[[#This Row],[Sequence]]</f>
        <v>atgcCGTCTCactcgCTTCtccctatcagtgatagagattg</v>
      </c>
      <c r="E160" s="19">
        <v>2.5000000000000001E-2</v>
      </c>
      <c r="F160" s="19" t="s">
        <v>418</v>
      </c>
      <c r="G160" s="19" t="s">
        <v>417</v>
      </c>
      <c r="I160" s="19">
        <v>1</v>
      </c>
    </row>
    <row r="161" spans="1:9" x14ac:dyDescent="0.55000000000000004">
      <c r="A161" s="19" t="str">
        <f>Table3[[#This Row],[Name]]</f>
        <v>B79 (2-5) Ptet-Mf.lon cas P2</v>
      </c>
      <c r="C161" s="19" t="str">
        <f>Table3[[#This Row],[Sequence]]</f>
        <v>gcatCGTCTCagGACGGAGAGGTGATGTATTC</v>
      </c>
      <c r="E161" s="19">
        <v>2.5000000000000001E-2</v>
      </c>
      <c r="F161" s="19" t="s">
        <v>418</v>
      </c>
      <c r="G161" s="19" t="s">
        <v>417</v>
      </c>
      <c r="I161" s="19">
        <v>1</v>
      </c>
    </row>
    <row r="162" spans="1:9" x14ac:dyDescent="0.55000000000000004">
      <c r="A162" s="19" t="str">
        <f>Table3[[#This Row],[Name]]</f>
        <v>B80 (2-5) Ptet-Mf.lon cas P3</v>
      </c>
      <c r="C162" s="19" t="str">
        <f>Table3[[#This Row],[Sequence]]</f>
        <v>atgcCGTCTCaGTCCctgaaaacccgttggtct</v>
      </c>
      <c r="E162" s="19">
        <v>2.5000000000000001E-2</v>
      </c>
      <c r="F162" s="19" t="s">
        <v>418</v>
      </c>
      <c r="G162" s="19" t="s">
        <v>417</v>
      </c>
      <c r="I162" s="19">
        <v>1</v>
      </c>
    </row>
    <row r="163" spans="1:9" x14ac:dyDescent="0.55000000000000004">
      <c r="A163" s="19" t="str">
        <f>Table3[[#This Row],[Name]]</f>
        <v>B81 (2-5) Ptet-Mf.lon cas P4</v>
      </c>
      <c r="C163" s="19" t="str">
        <f>Table3[[#This Row],[Sequence]]</f>
        <v>gcatCGTCTCactctCAGCggagagcgttcaccgacaaac</v>
      </c>
      <c r="E163" s="19">
        <v>2.5000000000000001E-2</v>
      </c>
      <c r="F163" s="19" t="s">
        <v>418</v>
      </c>
      <c r="G163" s="19" t="s">
        <v>417</v>
      </c>
      <c r="I163" s="19">
        <v>1</v>
      </c>
    </row>
    <row r="164" spans="1:9" x14ac:dyDescent="0.55000000000000004">
      <c r="A164" s="19" t="str">
        <f>Table3[[#This Row],[Name]]</f>
        <v>C01 (4c) pdt#3 O1</v>
      </c>
      <c r="C164" s="19" t="str">
        <f>Table3[[#This Row],[Sequence]]</f>
        <v>CTCGATCTgccgcaaacaa</v>
      </c>
      <c r="E164" s="19">
        <v>2.5000000000000001E-2</v>
      </c>
      <c r="F164" s="19" t="s">
        <v>418</v>
      </c>
      <c r="G164" s="19" t="s">
        <v>417</v>
      </c>
      <c r="I164" s="19">
        <v>1</v>
      </c>
    </row>
    <row r="165" spans="1:9" x14ac:dyDescent="0.55000000000000004">
      <c r="A165" s="19" t="str">
        <f>Table3[[#This Row],[Name]]</f>
        <v>C02 (4c) pdt#3 O2</v>
      </c>
      <c r="C165" s="19" t="str">
        <f>Table3[[#This Row],[Sequence]]</f>
        <v>aaacgaggaaaacacgaatgaggtgcctacattcatgct</v>
      </c>
      <c r="E165" s="19">
        <v>2.5000000000000001E-2</v>
      </c>
      <c r="F165" s="19" t="s">
        <v>418</v>
      </c>
      <c r="G165" s="19" t="s">
        <v>417</v>
      </c>
      <c r="I165" s="19">
        <v>1</v>
      </c>
    </row>
    <row r="166" spans="1:9" x14ac:dyDescent="0.55000000000000004">
      <c r="A166" s="19" t="str">
        <f>Table3[[#This Row],[Name]]</f>
        <v>C03 (4c) pdt#3 O3</v>
      </c>
      <c r="C166" s="19" t="str">
        <f>Table3[[#This Row],[Sequence]]</f>
        <v>gaatgccgggcaagccaatcgtcgccgcgtataataaTGGC</v>
      </c>
      <c r="E166" s="19">
        <v>2.5000000000000001E-2</v>
      </c>
      <c r="F166" s="19" t="s">
        <v>418</v>
      </c>
      <c r="G166" s="19" t="s">
        <v>417</v>
      </c>
      <c r="I166" s="19">
        <v>1</v>
      </c>
    </row>
    <row r="167" spans="1:9" x14ac:dyDescent="0.55000000000000004">
      <c r="A167" s="19" t="str">
        <f>Table3[[#This Row],[Name]]</f>
        <v>C04 (4c) pdt#3 O4</v>
      </c>
      <c r="C167" s="19" t="str">
        <f>Table3[[#This Row],[Sequence]]</f>
        <v>CTCTGCCAttattatacgcg</v>
      </c>
      <c r="E167" s="19">
        <v>2.5000000000000001E-2</v>
      </c>
      <c r="F167" s="19" t="s">
        <v>418</v>
      </c>
      <c r="G167" s="19" t="s">
        <v>417</v>
      </c>
      <c r="I167" s="19">
        <v>1</v>
      </c>
    </row>
    <row r="168" spans="1:9" x14ac:dyDescent="0.55000000000000004">
      <c r="A168" s="19" t="str">
        <f>Table3[[#This Row],[Name]]</f>
        <v>C05 (4c) pdt#3 O5</v>
      </c>
      <c r="C168" s="19" t="str">
        <f>Table3[[#This Row],[Sequence]]</f>
        <v>gcgacgattggcttgcccggcattcagcatgaatgtaggcacct</v>
      </c>
      <c r="E168" s="19">
        <v>2.5000000000000001E-2</v>
      </c>
      <c r="F168" s="19" t="s">
        <v>418</v>
      </c>
      <c r="G168" s="19" t="s">
        <v>417</v>
      </c>
      <c r="I168" s="19">
        <v>1</v>
      </c>
    </row>
    <row r="169" spans="1:9" x14ac:dyDescent="0.55000000000000004">
      <c r="A169" s="19" t="str">
        <f>Table3[[#This Row],[Name]]</f>
        <v>C06 (4c) pdt#3 O6</v>
      </c>
      <c r="C169" s="19" t="str">
        <f>Table3[[#This Row],[Sequence]]</f>
        <v>cattcgtgttttcctcgtttttgtttgcggcAGAT</v>
      </c>
      <c r="E169" s="19">
        <v>2.5000000000000001E-2</v>
      </c>
      <c r="F169" s="19" t="s">
        <v>418</v>
      </c>
      <c r="G169" s="19" t="s">
        <v>417</v>
      </c>
      <c r="I169" s="19">
        <v>1</v>
      </c>
    </row>
    <row r="170" spans="1:9" x14ac:dyDescent="0.55000000000000004">
      <c r="A170" s="19" t="str">
        <f>Table3[[#This Row],[Name]]</f>
        <v>C07 (9) CloDF13 P1</v>
      </c>
      <c r="C170" s="19" t="str">
        <f>Table3[[#This Row],[Sequence]]</f>
        <v>atgcCGTCTCactcgCCAAgatcaaaggatcttcttgagatc</v>
      </c>
      <c r="E170" s="19">
        <v>2.5000000000000001E-2</v>
      </c>
      <c r="F170" s="19" t="s">
        <v>418</v>
      </c>
      <c r="G170" s="19" t="s">
        <v>417</v>
      </c>
      <c r="I170" s="19">
        <v>1</v>
      </c>
    </row>
    <row r="171" spans="1:9" x14ac:dyDescent="0.55000000000000004">
      <c r="A171" s="19" t="str">
        <f>Table3[[#This Row],[Name]]</f>
        <v>C08 (9) CloDF13 P2</v>
      </c>
      <c r="C171" s="19" t="str">
        <f>Table3[[#This Row],[Sequence]]</f>
        <v>gcatCGTCTCactctCCGTgcgctgcggacacatacaaag</v>
      </c>
      <c r="E171" s="19">
        <v>2.5000000000000001E-2</v>
      </c>
      <c r="F171" s="19" t="s">
        <v>418</v>
      </c>
      <c r="G171" s="19" t="s">
        <v>417</v>
      </c>
      <c r="I171" s="19">
        <v>1</v>
      </c>
    </row>
    <row r="172" spans="1:9" x14ac:dyDescent="0.55000000000000004">
      <c r="A172" s="19" t="str">
        <f>Table3[[#This Row],[Name]]</f>
        <v>C09 (9) RSF1030 P1</v>
      </c>
      <c r="C172" s="19" t="str">
        <f>Table3[[#This Row],[Sequence]]</f>
        <v>atgcCGTCTCactcgCCAAaacggaatagctgttcgtt</v>
      </c>
      <c r="E172" s="19">
        <v>2.5000000000000001E-2</v>
      </c>
      <c r="F172" s="19" t="s">
        <v>418</v>
      </c>
      <c r="G172" s="19" t="s">
        <v>417</v>
      </c>
      <c r="I172" s="19">
        <v>1</v>
      </c>
    </row>
    <row r="173" spans="1:9" x14ac:dyDescent="0.55000000000000004">
      <c r="A173" s="19" t="str">
        <f>Table3[[#This Row],[Name]]</f>
        <v>C10 (9) RSF1030 P2</v>
      </c>
      <c r="C173" s="19" t="str">
        <f>Table3[[#This Row],[Sequence]]</f>
        <v>gcatCGTCTCactctCCGTcttccgcttcctcgctcac</v>
      </c>
      <c r="E173" s="19">
        <v>2.5000000000000001E-2</v>
      </c>
      <c r="F173" s="19" t="s">
        <v>418</v>
      </c>
      <c r="G173" s="19" t="s">
        <v>417</v>
      </c>
      <c r="I173" s="19">
        <v>1</v>
      </c>
    </row>
    <row r="174" spans="1:9" x14ac:dyDescent="0.55000000000000004">
      <c r="A174" s="19" t="str">
        <f>Table3[[#This Row],[Name]]</f>
        <v>C11 (4) mKate2 P2</v>
      </c>
      <c r="C174" s="19" t="str">
        <f>Table3[[#This Row],[Sequence]]</f>
        <v>gcatCGTCTCactctGCCAttaacggtgacccagtttagatg</v>
      </c>
      <c r="E174" s="19">
        <v>2.5000000000000001E-2</v>
      </c>
      <c r="F174" s="19" t="s">
        <v>418</v>
      </c>
      <c r="G174" s="19" t="s">
        <v>417</v>
      </c>
      <c r="I174" s="19">
        <v>1</v>
      </c>
    </row>
    <row r="175" spans="1:9" x14ac:dyDescent="0.55000000000000004">
      <c r="A175" s="19" t="str">
        <f>Table3[[#This Row],[Name]]</f>
        <v>C12 (1) ConL P1</v>
      </c>
      <c r="C175" s="19" t="str">
        <f>Table3[[#This Row],[Sequence]]</f>
        <v>atgcGGTCTCgctcgACGGaaaaaaaaaccccg</v>
      </c>
      <c r="E175" s="19">
        <v>2.5000000000000001E-2</v>
      </c>
      <c r="F175" s="19" t="s">
        <v>418</v>
      </c>
      <c r="G175" s="19" t="s">
        <v>417</v>
      </c>
      <c r="I175" s="19">
        <v>1</v>
      </c>
    </row>
    <row r="176" spans="1:9" x14ac:dyDescent="0.55000000000000004">
      <c r="A176" s="19" t="str">
        <f>Table3[[#This Row],[Name]]</f>
        <v>C13 (1) ConL P2</v>
      </c>
      <c r="C176" s="19" t="str">
        <f>Table3[[#This Row],[Sequence]]</f>
        <v>gcatGGTCTCgGACGctctagaagcggccgcga</v>
      </c>
      <c r="E176" s="19">
        <v>2.5000000000000001E-2</v>
      </c>
      <c r="F176" s="19" t="s">
        <v>418</v>
      </c>
      <c r="G176" s="19" t="s">
        <v>417</v>
      </c>
      <c r="I176" s="19">
        <v>1</v>
      </c>
    </row>
    <row r="177" spans="1:9" x14ac:dyDescent="0.55000000000000004">
      <c r="A177" s="19" t="str">
        <f>Table3[[#This Row],[Name]]</f>
        <v>C14 (1.1) ConL' P2</v>
      </c>
      <c r="C177" s="19" t="str">
        <f>Table3[[#This Row],[Sequence]]</f>
        <v>gcatGGTCTCgGACCctctagaagcggccgcga</v>
      </c>
      <c r="E177" s="19">
        <v>2.5000000000000001E-2</v>
      </c>
      <c r="F177" s="19" t="s">
        <v>418</v>
      </c>
      <c r="G177" s="19" t="s">
        <v>417</v>
      </c>
      <c r="I177" s="19">
        <v>1</v>
      </c>
    </row>
    <row r="178" spans="1:9" x14ac:dyDescent="0.55000000000000004">
      <c r="A178" s="19" t="str">
        <f>Table3[[#This Row],[Name]]</f>
        <v>C15 (6) ConR P1</v>
      </c>
      <c r="C178" s="19" t="str">
        <f>Table3[[#This Row],[Sequence]]</f>
        <v>atcgGGTCTCgGACGtactagtagcggccgctgcagt</v>
      </c>
      <c r="E178" s="19">
        <v>2.5000000000000001E-2</v>
      </c>
      <c r="F178" s="19" t="s">
        <v>418</v>
      </c>
      <c r="G178" s="19" t="s">
        <v>417</v>
      </c>
      <c r="I178" s="19">
        <v>1</v>
      </c>
    </row>
    <row r="179" spans="1:9" x14ac:dyDescent="0.55000000000000004">
      <c r="A179" s="19" t="str">
        <f>Table3[[#This Row],[Name]]</f>
        <v>C16 (6) ConR P2</v>
      </c>
      <c r="C179" s="19" t="str">
        <f>Table3[[#This Row],[Sequence]]</f>
        <v>cgatGGTCTCgctctTGTAgacgaacaataaggggagcgg</v>
      </c>
      <c r="E179" s="19">
        <v>2.5000000000000001E-2</v>
      </c>
      <c r="F179" s="19" t="s">
        <v>418</v>
      </c>
      <c r="G179" s="19" t="s">
        <v>417</v>
      </c>
      <c r="I179" s="19">
        <v>1</v>
      </c>
    </row>
    <row r="180" spans="1:9" x14ac:dyDescent="0.55000000000000004">
      <c r="A180" s="19" t="str">
        <f>Table3[[#This Row],[Name]]</f>
        <v>C17 (6) ConR' P1</v>
      </c>
      <c r="C180" s="19" t="str">
        <f>Table3[[#This Row],[Sequence]]</f>
        <v>atcgGGTCTCgGACCtgcaggtactagtagcggccgctgcagt</v>
      </c>
      <c r="E180" s="19">
        <v>2.5000000000000001E-2</v>
      </c>
      <c r="F180" s="19" t="s">
        <v>418</v>
      </c>
      <c r="G180" s="19" t="s">
        <v>417</v>
      </c>
      <c r="I180" s="19">
        <v>1</v>
      </c>
    </row>
    <row r="181" spans="1:9" x14ac:dyDescent="0.55000000000000004">
      <c r="A181" s="19" t="str">
        <f>Table3[[#This Row],[Name]]</f>
        <v>C18 (1) ConL1 o1</v>
      </c>
      <c r="C181" s="19" t="str">
        <f>Table3[[#This Row],[Sequence]]</f>
        <v>CGTCTCaGTCTgagctccctgcaggCTTC</v>
      </c>
      <c r="E181" s="19">
        <v>2.5000000000000001E-2</v>
      </c>
      <c r="F181" s="19" t="s">
        <v>418</v>
      </c>
      <c r="G181" s="19" t="s">
        <v>417</v>
      </c>
      <c r="I181" s="19">
        <v>1</v>
      </c>
    </row>
    <row r="182" spans="1:9" x14ac:dyDescent="0.55000000000000004">
      <c r="A182" s="19" t="str">
        <f>Table3[[#This Row],[Name]]</f>
        <v>C19 (1) ConL1 o2</v>
      </c>
      <c r="C182" s="19" t="str">
        <f>Table3[[#This Row],[Sequence]]</f>
        <v>CTCTGAAGcctgcagggagctcAGACtGA</v>
      </c>
      <c r="E182" s="19">
        <v>2.5000000000000001E-2</v>
      </c>
      <c r="F182" s="19" t="s">
        <v>418</v>
      </c>
      <c r="G182" s="19" t="s">
        <v>417</v>
      </c>
      <c r="I182" s="19">
        <v>1</v>
      </c>
    </row>
    <row r="183" spans="1:9" x14ac:dyDescent="0.55000000000000004">
      <c r="A183" s="19" t="str">
        <f>Table3[[#This Row],[Name]]</f>
        <v>C20 (12) OpConL1 o1</v>
      </c>
      <c r="C183" s="19" t="str">
        <f>Table3[[#This Row],[Sequence]]</f>
        <v>CGTCTCaGTCTCGAC</v>
      </c>
      <c r="E183" s="19">
        <v>2.5000000000000001E-2</v>
      </c>
      <c r="F183" s="19" t="s">
        <v>418</v>
      </c>
      <c r="G183" s="19" t="s">
        <v>417</v>
      </c>
      <c r="I183" s="19">
        <v>1</v>
      </c>
    </row>
    <row r="184" spans="1:9" x14ac:dyDescent="0.55000000000000004">
      <c r="A184" s="19" t="str">
        <f>Table3[[#This Row],[Name]]</f>
        <v>C21 (12) OpConL1 o2</v>
      </c>
      <c r="C184" s="19" t="str">
        <f>Table3[[#This Row],[Sequence]]</f>
        <v>CTCTGTCGAGACtGA</v>
      </c>
      <c r="E184" s="19">
        <v>2.5000000000000001E-2</v>
      </c>
      <c r="F184" s="19" t="s">
        <v>418</v>
      </c>
      <c r="G184" s="19" t="s">
        <v>417</v>
      </c>
      <c r="I184" s="19">
        <v>1</v>
      </c>
    </row>
    <row r="185" spans="1:9" x14ac:dyDescent="0.55000000000000004">
      <c r="A185" s="19" t="str">
        <f>Table3[[#This Row],[Name]]</f>
        <v>C22 (6) ConR1 o1</v>
      </c>
      <c r="C185" s="19" t="str">
        <f>Table3[[#This Row],[Sequence]]</f>
        <v>CTCGGCTGGTCTtGA</v>
      </c>
      <c r="E185" s="19">
        <v>2.5000000000000001E-2</v>
      </c>
      <c r="F185" s="19" t="s">
        <v>418</v>
      </c>
      <c r="G185" s="19" t="s">
        <v>417</v>
      </c>
      <c r="I185" s="19">
        <v>1</v>
      </c>
    </row>
    <row r="186" spans="1:9" x14ac:dyDescent="0.55000000000000004">
      <c r="A186" s="19" t="str">
        <f>Table3[[#This Row],[Name]]</f>
        <v>C23 (6) ConR1 o2</v>
      </c>
      <c r="C186" s="19" t="str">
        <f>Table3[[#This Row],[Sequence]]</f>
        <v>CGTCTCaAGACCAGC</v>
      </c>
      <c r="E186" s="19">
        <v>2.5000000000000001E-2</v>
      </c>
      <c r="F186" s="19" t="s">
        <v>418</v>
      </c>
      <c r="G186" s="19" t="s">
        <v>417</v>
      </c>
      <c r="I186" s="19">
        <v>1</v>
      </c>
    </row>
    <row r="187" spans="1:9" x14ac:dyDescent="0.55000000000000004">
      <c r="A187" s="19" t="str">
        <f>Table3[[#This Row],[Name]]</f>
        <v>C24 (56) OpConR1 o1</v>
      </c>
      <c r="C187" s="19" t="str">
        <f>Table3[[#This Row],[Sequence]]</f>
        <v>CTCGTGGCGTCTtGA</v>
      </c>
      <c r="E187" s="19">
        <v>2.5000000000000001E-2</v>
      </c>
      <c r="F187" s="19" t="s">
        <v>418</v>
      </c>
      <c r="G187" s="19" t="s">
        <v>417</v>
      </c>
      <c r="I187" s="19">
        <v>1</v>
      </c>
    </row>
    <row r="188" spans="1:9" x14ac:dyDescent="0.55000000000000004">
      <c r="A188" s="19" t="str">
        <f>Table3[[#This Row],[Name]]</f>
        <v>C25 (56) OpConR1 o2</v>
      </c>
      <c r="C188" s="19" t="str">
        <f>Table3[[#This Row],[Sequence]]</f>
        <v>CGTCTCaAGACGCCA</v>
      </c>
      <c r="E188" s="19">
        <v>2.5000000000000001E-2</v>
      </c>
      <c r="F188" s="19" t="s">
        <v>418</v>
      </c>
      <c r="G188" s="19" t="s">
        <v>417</v>
      </c>
      <c r="I188" s="19">
        <v>1</v>
      </c>
    </row>
    <row r="189" spans="1:9" x14ac:dyDescent="0.55000000000000004">
      <c r="A189" s="19" t="str">
        <f>Table3[[#This Row],[Name]]</f>
        <v>C26 (1-1) ConL1 o1</v>
      </c>
      <c r="C189" s="19" t="str">
        <f>Table3[[#This Row],[Sequence]]</f>
        <v>GGTCTCaGTCTaagcttggcgcgcctgcaggCTTC</v>
      </c>
      <c r="E189" s="19">
        <v>2.5000000000000001E-2</v>
      </c>
      <c r="F189" s="19" t="s">
        <v>418</v>
      </c>
      <c r="G189" s="19" t="s">
        <v>417</v>
      </c>
      <c r="I189" s="19">
        <v>1</v>
      </c>
    </row>
    <row r="190" spans="1:9" x14ac:dyDescent="0.55000000000000004">
      <c r="A190" s="19" t="str">
        <f>Table3[[#This Row],[Name]]</f>
        <v>C27 (1-1) ConL1 o2</v>
      </c>
      <c r="C190" s="19" t="str">
        <f>Table3[[#This Row],[Sequence]]</f>
        <v>CTCTGAAGcctgcaggcgcgccaagcttAGACtGA</v>
      </c>
      <c r="E190" s="19">
        <v>2.5000000000000001E-2</v>
      </c>
      <c r="F190" s="19" t="s">
        <v>418</v>
      </c>
      <c r="G190" s="19" t="s">
        <v>417</v>
      </c>
      <c r="I190" s="19">
        <v>1</v>
      </c>
    </row>
    <row r="191" spans="1:9" x14ac:dyDescent="0.55000000000000004">
      <c r="A191" s="19" t="str">
        <f>Table3[[#This Row],[Name]]</f>
        <v>C28 (6-1) ConR1 o1</v>
      </c>
      <c r="C191" s="19" t="str">
        <f>Table3[[#This Row],[Sequence]]</f>
        <v>CTCGGCTGgatatcGTCTtGA</v>
      </c>
      <c r="E191" s="19">
        <v>2.5000000000000001E-2</v>
      </c>
      <c r="F191" s="19" t="s">
        <v>418</v>
      </c>
      <c r="G191" s="19" t="s">
        <v>417</v>
      </c>
      <c r="I191" s="19">
        <v>1</v>
      </c>
    </row>
    <row r="192" spans="1:9" x14ac:dyDescent="0.55000000000000004">
      <c r="A192" s="19" t="str">
        <f>Table3[[#This Row],[Name]]</f>
        <v>C29 (6-1) ConR1 o2</v>
      </c>
      <c r="C192" s="19" t="str">
        <f>Table3[[#This Row],[Sequence]]</f>
        <v>GGTCTCaAGACgatatcCAGC</v>
      </c>
      <c r="E192" s="19">
        <v>2.5000000000000001E-2</v>
      </c>
      <c r="F192" s="19" t="s">
        <v>418</v>
      </c>
      <c r="G192" s="19" t="s">
        <v>417</v>
      </c>
      <c r="I192" s="19">
        <v>1</v>
      </c>
    </row>
    <row r="193" spans="1:9" x14ac:dyDescent="0.55000000000000004">
      <c r="A193" s="19" t="str">
        <f>Table3[[#This Row],[Name]]</f>
        <v xml:space="preserve">C30 </v>
      </c>
      <c r="C193" s="19">
        <f>Table3[[#This Row],[Sequence]]</f>
        <v>0</v>
      </c>
      <c r="E193" s="19">
        <v>2.5000000000000001E-2</v>
      </c>
      <c r="F193" s="19" t="s">
        <v>418</v>
      </c>
      <c r="G193" s="19" t="s">
        <v>417</v>
      </c>
      <c r="I193" s="19">
        <v>1</v>
      </c>
    </row>
    <row r="194" spans="1:9" x14ac:dyDescent="0.55000000000000004">
      <c r="A194" s="19" t="str">
        <f>Table3[[#This Row],[Name]]</f>
        <v>C31 AprR fix P2</v>
      </c>
      <c r="C194" s="19" t="str">
        <f>Table3[[#This Row],[Sequence]]</f>
        <v>caCGTCTCaaccttggagttgtctctg</v>
      </c>
      <c r="E194" s="19">
        <v>2.5000000000000001E-2</v>
      </c>
      <c r="F194" s="19" t="s">
        <v>418</v>
      </c>
      <c r="G194" s="19" t="s">
        <v>417</v>
      </c>
      <c r="I194" s="19">
        <v>1</v>
      </c>
    </row>
    <row r="195" spans="1:9" x14ac:dyDescent="0.55000000000000004">
      <c r="A195" s="19" t="str">
        <f>Table3[[#This Row],[Name]]</f>
        <v>C32 AprR fix P3</v>
      </c>
      <c r="C195" s="19" t="str">
        <f>Table3[[#This Row],[Sequence]]</f>
        <v>gtCGTCTCaaggtccggtgtaacgggc</v>
      </c>
      <c r="E195" s="19">
        <v>2.5000000000000001E-2</v>
      </c>
      <c r="F195" s="19" t="s">
        <v>418</v>
      </c>
      <c r="G195" s="19" t="s">
        <v>417</v>
      </c>
      <c r="I195" s="19">
        <v>1</v>
      </c>
    </row>
    <row r="196" spans="1:9" x14ac:dyDescent="0.55000000000000004">
      <c r="A196" s="19" t="str">
        <f>Table3[[#This Row],[Name]]</f>
        <v>C33 (3) Anderson RBS library O1</v>
      </c>
      <c r="C196" s="19" t="str">
        <f>Table3[[#This Row],[Sequence]]</f>
        <v>CGACctagtgAAAGANNNGANNNacta</v>
      </c>
      <c r="E196" s="19">
        <v>2.5000000000000001E-2</v>
      </c>
      <c r="F196" s="19" t="s">
        <v>418</v>
      </c>
      <c r="G196" s="19" t="s">
        <v>417</v>
      </c>
      <c r="I196" s="19">
        <v>1</v>
      </c>
    </row>
    <row r="197" spans="1:9" x14ac:dyDescent="0.55000000000000004">
      <c r="A197" s="19" t="str">
        <f>Table3[[#This Row],[Name]]</f>
        <v>C34 (3b) Anderson RBS library O1</v>
      </c>
      <c r="C197" s="19" t="str">
        <f>Table3[[#This Row],[Sequence]]</f>
        <v>TCAGctagtgAAAGANNNGANNNacta</v>
      </c>
      <c r="E197" s="19">
        <v>2.5000000000000001E-2</v>
      </c>
      <c r="F197" s="19" t="s">
        <v>418</v>
      </c>
      <c r="G197" s="19" t="s">
        <v>417</v>
      </c>
      <c r="I197" s="19">
        <v>1</v>
      </c>
    </row>
    <row r="198" spans="1:9" x14ac:dyDescent="0.55000000000000004">
      <c r="A198" s="19" t="str">
        <f>Table3[[#This Row],[Name]]</f>
        <v>C35 (3/3b) Anderson RBS library O2</v>
      </c>
      <c r="C198" s="19" t="str">
        <f>Table3[[#This Row],[Sequence]]</f>
        <v>CATTtagtNNNTCNNNTCTTTcactag</v>
      </c>
      <c r="E198" s="19">
        <v>2.5000000000000001E-2</v>
      </c>
      <c r="F198" s="19" t="s">
        <v>418</v>
      </c>
      <c r="G198" s="19" t="s">
        <v>417</v>
      </c>
      <c r="I198" s="19">
        <v>1</v>
      </c>
    </row>
    <row r="199" spans="1:9" x14ac:dyDescent="0.55000000000000004">
      <c r="A199" s="19" t="str">
        <f>Table3[[#This Row],[Name]]</f>
        <v>C36 (9) pWV01 O1</v>
      </c>
      <c r="C199" s="19" t="str">
        <f>Table3[[#This Row],[Sequence]]</f>
        <v>CTCGCCAAaaaataaaaacccccttcgactttcgtcagggggcttttattta</v>
      </c>
      <c r="E199" s="19">
        <v>2.5000000000000001E-2</v>
      </c>
      <c r="F199" s="19" t="s">
        <v>418</v>
      </c>
      <c r="G199" s="19" t="s">
        <v>417</v>
      </c>
      <c r="I199" s="19">
        <v>1</v>
      </c>
    </row>
    <row r="200" spans="1:9" x14ac:dyDescent="0.55000000000000004">
      <c r="A200" s="19" t="str">
        <f>Table3[[#This Row],[Name]]</f>
        <v>C37 (9) pWV01 O2</v>
      </c>
      <c r="C200" s="19" t="str">
        <f>Table3[[#This Row],[Sequence]]</f>
        <v>ATGAtaaataaaagccccctgacgaaagtcgaagggggtttttattttTTGG</v>
      </c>
      <c r="E200" s="19">
        <v>2.5000000000000001E-2</v>
      </c>
      <c r="F200" s="19" t="s">
        <v>418</v>
      </c>
      <c r="G200" s="19" t="s">
        <v>417</v>
      </c>
      <c r="I200" s="19">
        <v>1</v>
      </c>
    </row>
    <row r="201" spans="1:9" x14ac:dyDescent="0.55000000000000004">
      <c r="A201" s="19" t="str">
        <f>Table3[[#This Row],[Name]]</f>
        <v>C38 (9) pWV01 O3</v>
      </c>
      <c r="C201" s="19" t="str">
        <f>Table3[[#This Row],[Sequence]]</f>
        <v>aacgattttcagacgttttaataaaaaatcgACGG</v>
      </c>
      <c r="E201" s="19">
        <v>2.5000000000000001E-2</v>
      </c>
      <c r="F201" s="19" t="s">
        <v>418</v>
      </c>
      <c r="G201" s="19" t="s">
        <v>417</v>
      </c>
      <c r="I201" s="19">
        <v>1</v>
      </c>
    </row>
    <row r="202" spans="1:9" x14ac:dyDescent="0.55000000000000004">
      <c r="A202" s="19" t="str">
        <f>Table3[[#This Row],[Name]]</f>
        <v>C39 (9) pWV01 O4</v>
      </c>
      <c r="C202" s="19" t="str">
        <f>Table3[[#This Row],[Sequence]]</f>
        <v>CTCTCCGTcgattttttattaaaacgtctgaaaat</v>
      </c>
      <c r="E202" s="19">
        <v>2.5000000000000001E-2</v>
      </c>
      <c r="F202" s="19" t="s">
        <v>418</v>
      </c>
      <c r="G202" s="19" t="s">
        <v>417</v>
      </c>
      <c r="I202" s="19">
        <v>1</v>
      </c>
    </row>
    <row r="203" spans="1:9" x14ac:dyDescent="0.55000000000000004">
      <c r="A203" s="19" t="str">
        <f>Table3[[#This Row],[Name]]</f>
        <v>C40 (9) pWV01 P1</v>
      </c>
      <c r="C203" s="19" t="str">
        <f>Table3[[#This Row],[Sequence]]</f>
        <v>gcatCGTCTCaTCATTTTATTTCCCCCGTTTC</v>
      </c>
      <c r="E203" s="19">
        <v>2.5000000000000001E-2</v>
      </c>
      <c r="F203" s="19" t="s">
        <v>418</v>
      </c>
      <c r="G203" s="19" t="s">
        <v>417</v>
      </c>
      <c r="I203" s="19">
        <v>1</v>
      </c>
    </row>
    <row r="204" spans="1:9" x14ac:dyDescent="0.55000000000000004">
      <c r="A204" s="19" t="str">
        <f>Table3[[#This Row],[Name]]</f>
        <v>C41 (9) pWV01 P2</v>
      </c>
      <c r="C204" s="19" t="str">
        <f>Table3[[#This Row],[Sequence]]</f>
        <v>atgcCGTCTCacgtttctcAGACGTTTTAGCGTTTATTTCG</v>
      </c>
      <c r="E204" s="19">
        <v>2.5000000000000001E-2</v>
      </c>
      <c r="F204" s="19" t="s">
        <v>418</v>
      </c>
      <c r="G204" s="19" t="s">
        <v>417</v>
      </c>
      <c r="I204" s="19">
        <v>1</v>
      </c>
    </row>
    <row r="205" spans="1:9" x14ac:dyDescent="0.55000000000000004">
      <c r="A205" s="19" t="str">
        <f>Table3[[#This Row],[Name]]</f>
        <v>C42 (9) p15A.r P1</v>
      </c>
      <c r="C205" s="19" t="str">
        <f>Table3[[#This Row],[Sequence]]</f>
        <v>gcCGTCTCactcgCCAAtagcggagtgtatactggct</v>
      </c>
      <c r="E205" s="19">
        <v>2.5000000000000001E-2</v>
      </c>
      <c r="F205" s="19" t="s">
        <v>418</v>
      </c>
      <c r="G205" s="19" t="s">
        <v>417</v>
      </c>
      <c r="I205" s="19">
        <v>1</v>
      </c>
    </row>
    <row r="206" spans="1:9" x14ac:dyDescent="0.55000000000000004">
      <c r="A206" s="19" t="str">
        <f>Table3[[#This Row],[Name]]</f>
        <v>C43 (9) p15A.r P2</v>
      </c>
      <c r="C206" s="19" t="str">
        <f>Table3[[#This Row],[Sequence]]</f>
        <v>cgCGTCTCactctCCGTttaataagatgatcttcttgagatcg</v>
      </c>
      <c r="E206" s="19">
        <v>2.5000000000000001E-2</v>
      </c>
      <c r="F206" s="19" t="s">
        <v>418</v>
      </c>
      <c r="G206" s="19" t="s">
        <v>417</v>
      </c>
      <c r="I206" s="19">
        <v>1</v>
      </c>
    </row>
    <row r="207" spans="1:9" x14ac:dyDescent="0.55000000000000004">
      <c r="A207" s="19" t="str">
        <f>Table3[[#This Row],[Name]]</f>
        <v>C44 (1-6r) sfgfp-pUC P2</v>
      </c>
      <c r="C207" s="19" t="str">
        <f>Table3[[#This Row],[Sequence]]</f>
        <v>atcgCGTCTCaTTGGgagagcgttcaccgacaaac</v>
      </c>
      <c r="E207" s="19">
        <v>2.5000000000000001E-2</v>
      </c>
      <c r="F207" s="19" t="s">
        <v>418</v>
      </c>
      <c r="G207" s="19" t="s">
        <v>417</v>
      </c>
      <c r="I207" s="19">
        <v>1</v>
      </c>
    </row>
    <row r="208" spans="1:9" x14ac:dyDescent="0.55000000000000004">
      <c r="A208" s="19" t="str">
        <f>Table3[[#This Row],[Name]]</f>
        <v>C45 (1-6r0) pUC P2</v>
      </c>
      <c r="C208" s="19" t="str">
        <f>Table3[[#This Row],[Sequence]]</f>
        <v>gcatGGTCTCactctTGTAtGAGACGTATCATCGCatgtgagcaaaaggccagc</v>
      </c>
      <c r="E208" s="19">
        <v>2.5000000000000001E-2</v>
      </c>
      <c r="F208" s="19" t="s">
        <v>418</v>
      </c>
      <c r="G208" s="19" t="s">
        <v>417</v>
      </c>
      <c r="I208" s="19">
        <v>1</v>
      </c>
    </row>
    <row r="209" spans="1:9" x14ac:dyDescent="0.55000000000000004">
      <c r="A209" s="19" t="str">
        <f>Table3[[#This Row],[Name]]</f>
        <v>C46 (1-6r1) pUC P2</v>
      </c>
      <c r="C209" s="19" t="str">
        <f>Table3[[#This Row],[Sequence]]</f>
        <v>gcatCGTCTCactctTGTAtGAGACCTATCATCGCatgtgagcaaaaggccagc</v>
      </c>
      <c r="E209" s="19">
        <v>2.5000000000000001E-2</v>
      </c>
      <c r="F209" s="19" t="s">
        <v>418</v>
      </c>
      <c r="G209" s="19" t="s">
        <v>417</v>
      </c>
      <c r="I209" s="19">
        <v>1</v>
      </c>
    </row>
    <row r="210" spans="1:9" x14ac:dyDescent="0.55000000000000004">
      <c r="A210" s="19" t="str">
        <f>Table3[[#This Row],[Name]]</f>
        <v>C47 (1-6r) mCherry-pUC P2</v>
      </c>
      <c r="C210" s="19" t="str">
        <f>Table3[[#This Row],[Sequence]]</f>
        <v>atcgCGTCTCaTTGGggaccaaaacgaaaaaagacg</v>
      </c>
      <c r="E210" s="19">
        <v>2.5000000000000001E-2</v>
      </c>
      <c r="F210" s="19" t="s">
        <v>418</v>
      </c>
      <c r="G210" s="19" t="s">
        <v>417</v>
      </c>
      <c r="I210" s="19">
        <v>1</v>
      </c>
    </row>
    <row r="211" spans="1:9" x14ac:dyDescent="0.55000000000000004">
      <c r="A211" s="19" t="str">
        <f>Table3[[#This Row],[Name]]</f>
        <v>C48 (1-6r0) mCherry P2</v>
      </c>
      <c r="C211" s="19" t="str">
        <f>Table3[[#This Row],[Sequence]]</f>
        <v>gcatGGTCTCactctTGTAtGAGACGTATCATCGCggaccaaaacgaaaaaagacg</v>
      </c>
      <c r="E211" s="19">
        <v>2.5000000000000001E-2</v>
      </c>
      <c r="F211" s="19" t="s">
        <v>418</v>
      </c>
      <c r="G211" s="19" t="s">
        <v>417</v>
      </c>
      <c r="I211" s="19">
        <v>1</v>
      </c>
    </row>
    <row r="212" spans="1:9" x14ac:dyDescent="0.55000000000000004">
      <c r="A212" s="19" t="str">
        <f>Table3[[#This Row],[Name]]</f>
        <v>C49 (1-6r1) mCherry P2</v>
      </c>
      <c r="C212" s="19" t="str">
        <f>Table3[[#This Row],[Sequence]]</f>
        <v>gcatCGTCTCactctTGTAtGAGACCTATCATCGCggaccaaaacgaaaaaagacg</v>
      </c>
      <c r="E212" s="19">
        <v>2.5000000000000001E-2</v>
      </c>
      <c r="F212" s="19" t="s">
        <v>418</v>
      </c>
      <c r="G212" s="19" t="s">
        <v>417</v>
      </c>
      <c r="I212" s="19">
        <v>1</v>
      </c>
    </row>
    <row r="213" spans="1:9" x14ac:dyDescent="0.55000000000000004">
      <c r="A213" s="19" t="str">
        <f>Table3[[#This Row],[Name]]</f>
        <v>C50 (4) chrB</v>
      </c>
      <c r="C213" s="19" t="str">
        <f>Table3[[#This Row],[Sequence]]</f>
        <v>atgcCGTCTCactcgAATGaacttactgtcacccatcct</v>
      </c>
      <c r="E213" s="19">
        <v>2.5000000000000001E-2</v>
      </c>
      <c r="F213" s="19" t="s">
        <v>418</v>
      </c>
      <c r="G213" s="19" t="s">
        <v>417</v>
      </c>
      <c r="I213" s="19">
        <v>1</v>
      </c>
    </row>
    <row r="214" spans="1:9" x14ac:dyDescent="0.55000000000000004">
      <c r="A214" s="19" t="str">
        <f>Table3[[#This Row],[Name]]</f>
        <v>C51 (4) chrB</v>
      </c>
      <c r="C214" s="19" t="str">
        <f>Table3[[#This Row],[Sequence]]</f>
        <v>gcatCGTCTCactctGCCAttattaaacggtcagagtgcctttttc</v>
      </c>
      <c r="E214" s="19">
        <v>2.5000000000000001E-2</v>
      </c>
      <c r="F214" s="19" t="s">
        <v>418</v>
      </c>
      <c r="G214" s="19" t="s">
        <v>417</v>
      </c>
      <c r="I214" s="19">
        <v>1</v>
      </c>
    </row>
    <row r="215" spans="1:9" x14ac:dyDescent="0.55000000000000004">
      <c r="A215" s="19" t="str">
        <f>Table3[[#This Row],[Name]]</f>
        <v>C52 (2) PL-lacO1 P2</v>
      </c>
      <c r="C215" s="19" t="str">
        <f>Table3[[#This Row],[Sequence]]</f>
        <v>gcatCGTCTCactctGTCGtgtgctcagtatcttgttatc</v>
      </c>
      <c r="E215" s="19">
        <v>2.5000000000000001E-2</v>
      </c>
      <c r="F215" s="19" t="s">
        <v>418</v>
      </c>
      <c r="G215" s="19" t="s">
        <v>417</v>
      </c>
      <c r="I215" s="19">
        <v>1</v>
      </c>
    </row>
    <row r="216" spans="1:9" x14ac:dyDescent="0.55000000000000004">
      <c r="A216" s="19" t="str">
        <f>Table3[[#This Row],[Name]]</f>
        <v>C53 aphA1t seq F (insert R)</v>
      </c>
      <c r="C216" s="19" t="str">
        <f>Table3[[#This Row],[Sequence]]</f>
        <v>GCAGTTTCATTTGATGCTCGATGAG</v>
      </c>
      <c r="E216" s="19">
        <v>2.5000000000000001E-2</v>
      </c>
      <c r="F216" s="19" t="s">
        <v>418</v>
      </c>
      <c r="G216" s="19" t="s">
        <v>417</v>
      </c>
      <c r="I216" s="19">
        <v>1</v>
      </c>
    </row>
    <row r="217" spans="1:9" x14ac:dyDescent="0.55000000000000004">
      <c r="A217" s="19" t="str">
        <f>Table3[[#This Row],[Name]]</f>
        <v>C54 p15A seq F (insert F)</v>
      </c>
      <c r="C217" s="19" t="str">
        <f>Table3[[#This Row],[Sequence]]</f>
        <v>cttcactgacaccctcatcag</v>
      </c>
      <c r="E217" s="19">
        <v>2.5000000000000001E-2</v>
      </c>
      <c r="F217" s="19" t="s">
        <v>418</v>
      </c>
      <c r="G217" s="19" t="s">
        <v>417</v>
      </c>
      <c r="I217" s="19">
        <v>1</v>
      </c>
    </row>
    <row r="218" spans="1:9" x14ac:dyDescent="0.55000000000000004">
      <c r="A218" s="19" t="str">
        <f>Table3[[#This Row],[Name]]</f>
        <v>C55 bla.t seq F (insert R)</v>
      </c>
      <c r="C218" s="19" t="str">
        <f>Table3[[#This Row],[Sequence]]</f>
        <v>tggtaactgtcagaccaagtttactc</v>
      </c>
      <c r="E218" s="19">
        <v>2.5000000000000001E-2</v>
      </c>
      <c r="F218" s="19" t="s">
        <v>418</v>
      </c>
      <c r="G218" s="19" t="s">
        <v>417</v>
      </c>
      <c r="I218" s="19">
        <v>1</v>
      </c>
    </row>
    <row r="219" spans="1:9" x14ac:dyDescent="0.55000000000000004">
      <c r="A219" s="19" t="str">
        <f>Table3[[#This Row],[Name]]</f>
        <v>C56 (2) gntKp P1</v>
      </c>
      <c r="C219" s="19" t="str">
        <f>Table3[[#This Row],[Sequence]]</f>
        <v>atgcCGTCTCactcgCTTCaatctgtgacaccgaaaatg</v>
      </c>
      <c r="E219" s="19">
        <v>2.5000000000000001E-2</v>
      </c>
      <c r="F219" s="19" t="s">
        <v>418</v>
      </c>
      <c r="G219" s="19" t="s">
        <v>417</v>
      </c>
      <c r="I219" s="19">
        <v>1</v>
      </c>
    </row>
    <row r="220" spans="1:9" x14ac:dyDescent="0.55000000000000004">
      <c r="A220" s="19" t="str">
        <f>Table3[[#This Row],[Name]]</f>
        <v>C57 (2) gntKp P2</v>
      </c>
      <c r="C220" s="19" t="str">
        <f>Table3[[#This Row],[Sequence]]</f>
        <v>gcatCGTCTCactctGTCGaatacaagaattaaaaatgttacgg</v>
      </c>
      <c r="E220" s="19">
        <v>2.5000000000000001E-2</v>
      </c>
      <c r="F220" s="19" t="s">
        <v>418</v>
      </c>
      <c r="G220" s="19" t="s">
        <v>417</v>
      </c>
      <c r="I220" s="19">
        <v>1</v>
      </c>
    </row>
    <row r="221" spans="1:9" x14ac:dyDescent="0.55000000000000004">
      <c r="A221" s="19" t="str">
        <f>Table3[[#This Row],[Name]]</f>
        <v>C58 (9) ColE1_pET P2</v>
      </c>
      <c r="C221" s="19" t="str">
        <f>Table3[[#This Row],[Sequence]]</f>
        <v>cggcctttttacggttcctggc</v>
      </c>
      <c r="E221" s="19">
        <v>2.5000000000000001E-2</v>
      </c>
      <c r="F221" s="19" t="s">
        <v>418</v>
      </c>
      <c r="G221" s="19" t="s">
        <v>417</v>
      </c>
      <c r="I221" s="19">
        <v>1</v>
      </c>
    </row>
    <row r="222" spans="1:9" x14ac:dyDescent="0.55000000000000004">
      <c r="A222" s="19" t="str">
        <f>Table3[[#This Row],[Name]]</f>
        <v>C59 (9) ColE1_pET P3</v>
      </c>
      <c r="C222" s="19" t="str">
        <f>Table3[[#This Row],[Sequence]]</f>
        <v>gttcagaacgctcggttgccg</v>
      </c>
      <c r="E222" s="19">
        <v>2.5000000000000001E-2</v>
      </c>
      <c r="F222" s="19" t="s">
        <v>418</v>
      </c>
      <c r="G222" s="19" t="s">
        <v>417</v>
      </c>
      <c r="I222" s="19">
        <v>1</v>
      </c>
    </row>
    <row r="223" spans="1:9" x14ac:dyDescent="0.55000000000000004">
      <c r="A223" s="19" t="str">
        <f>Table3[[#This Row],[Name]]</f>
        <v>C60 pUC seq F (insert F)</v>
      </c>
      <c r="C223" s="19" t="str">
        <f>Table3[[#This Row],[Sequence]]</f>
        <v>cggcctttttacggttcctggc</v>
      </c>
      <c r="E223" s="19">
        <v>2.5000000000000001E-2</v>
      </c>
      <c r="F223" s="19" t="s">
        <v>418</v>
      </c>
      <c r="G223" s="19" t="s">
        <v>417</v>
      </c>
      <c r="I223" s="19">
        <v>1</v>
      </c>
    </row>
    <row r="224" spans="1:9" x14ac:dyDescent="0.55000000000000004">
      <c r="A224" s="19" t="str">
        <f>Table3[[#This Row],[Name]]</f>
        <v>C61 cat.t seq F (insert R)</v>
      </c>
      <c r="C224" s="19" t="str">
        <f>Table3[[#This Row],[Sequence]]</f>
        <v>gttcagaacgctcggttgccg</v>
      </c>
      <c r="E224" s="19">
        <v>2.5000000000000001E-2</v>
      </c>
      <c r="F224" s="19" t="s">
        <v>418</v>
      </c>
      <c r="G224" s="19" t="s">
        <v>417</v>
      </c>
      <c r="I224" s="19">
        <v>1</v>
      </c>
    </row>
    <row r="225" spans="1:9" x14ac:dyDescent="0.55000000000000004">
      <c r="A225" s="19" t="str">
        <f>Table3[[#This Row],[Name]]</f>
        <v>C62 vioB seq MF</v>
      </c>
      <c r="C225" s="19" t="str">
        <f>Table3[[#This Row],[Sequence]]</f>
        <v>GTCTGACCGTGCAATATGCG</v>
      </c>
      <c r="E225" s="19">
        <v>2.5000000000000001E-2</v>
      </c>
      <c r="F225" s="19" t="s">
        <v>418</v>
      </c>
      <c r="G225" s="19" t="s">
        <v>417</v>
      </c>
      <c r="I225" s="19">
        <v>1</v>
      </c>
    </row>
    <row r="226" spans="1:9" x14ac:dyDescent="0.55000000000000004">
      <c r="A226" s="19" t="str">
        <f>Table3[[#This Row],[Name]]</f>
        <v>C63 vioB seq MR</v>
      </c>
      <c r="C226" s="19" t="str">
        <f>Table3[[#This Row],[Sequence]]</f>
        <v>CAAAAACGCCTGACGAATGG</v>
      </c>
      <c r="E226" s="19">
        <v>2.5000000000000001E-2</v>
      </c>
      <c r="F226" s="19" t="s">
        <v>418</v>
      </c>
      <c r="G226" s="19" t="s">
        <v>417</v>
      </c>
      <c r="I226" s="19">
        <v>1</v>
      </c>
    </row>
    <row r="227" spans="1:9" x14ac:dyDescent="0.55000000000000004">
      <c r="A227" s="19" t="str">
        <f>Table3[[#This Row],[Name]]</f>
        <v>C64 Mf.lon seq MF</v>
      </c>
      <c r="C227" s="19" t="str">
        <f>Table3[[#This Row],[Sequence]]</f>
        <v>AATCGAACAGGAACTGAACC</v>
      </c>
      <c r="E227" s="19">
        <v>2.5000000000000001E-2</v>
      </c>
      <c r="F227" s="19" t="s">
        <v>418</v>
      </c>
      <c r="G227" s="19" t="s">
        <v>417</v>
      </c>
      <c r="I227" s="19">
        <v>1</v>
      </c>
    </row>
    <row r="228" spans="1:9" x14ac:dyDescent="0.55000000000000004">
      <c r="A228" s="19" t="str">
        <f>Table3[[#This Row],[Name]]</f>
        <v>C65 Mf.lon seq MR</v>
      </c>
      <c r="C228" s="19" t="str">
        <f>Table3[[#This Row],[Sequence]]</f>
        <v>CCGGTTTGTCAGAAAGAGC</v>
      </c>
      <c r="E228" s="19">
        <v>2.5000000000000001E-2</v>
      </c>
      <c r="F228" s="19" t="s">
        <v>418</v>
      </c>
      <c r="G228" s="19" t="s">
        <v>417</v>
      </c>
      <c r="I228" s="19">
        <v>1</v>
      </c>
    </row>
    <row r="229" spans="1:9" x14ac:dyDescent="0.55000000000000004">
      <c r="A229" s="19" t="str">
        <f>Table3[[#This Row],[Name]]</f>
        <v>C66 (2) pCon51 o1</v>
      </c>
      <c r="C229" s="19" t="str">
        <f>Table3[[#This Row],[Sequence]]</f>
        <v>CTCGCTTCctgacagctagctcagtcctaggtataatgctagctactCGAC</v>
      </c>
      <c r="E229" s="19">
        <v>2.5000000000000001E-2</v>
      </c>
      <c r="F229" s="19" t="s">
        <v>418</v>
      </c>
      <c r="G229" s="19" t="s">
        <v>417</v>
      </c>
      <c r="I229" s="19">
        <v>1</v>
      </c>
    </row>
    <row r="230" spans="1:9" x14ac:dyDescent="0.55000000000000004">
      <c r="A230" s="19" t="str">
        <f>Table3[[#This Row],[Name]]</f>
        <v>C67 (2) pCon51 o2</v>
      </c>
      <c r="C230" s="19" t="str">
        <f>Table3[[#This Row],[Sequence]]</f>
        <v>CTCTGTCGagtagctagcattatacctaggactgagctagctgtcagGAAG</v>
      </c>
      <c r="E230" s="19">
        <v>2.5000000000000001E-2</v>
      </c>
      <c r="F230" s="19" t="s">
        <v>418</v>
      </c>
      <c r="G230" s="19" t="s">
        <v>417</v>
      </c>
      <c r="I230" s="19">
        <v>1</v>
      </c>
    </row>
    <row r="231" spans="1:9" x14ac:dyDescent="0.55000000000000004">
      <c r="A231" s="19" t="str">
        <f>Table3[[#This Row],[Name]]</f>
        <v>C68 (9) pSC101 mut P2</v>
      </c>
      <c r="C231" s="19" t="str">
        <f>Table3[[#This Row],[Sequence]]</f>
        <v>taCGTCTCgaactatgccaagttctcaagc</v>
      </c>
      <c r="E231" s="19">
        <v>2.5000000000000001E-2</v>
      </c>
      <c r="F231" s="19" t="s">
        <v>418</v>
      </c>
      <c r="G231" s="19" t="s">
        <v>417</v>
      </c>
      <c r="I231" s="19">
        <v>1</v>
      </c>
    </row>
    <row r="232" spans="1:9" x14ac:dyDescent="0.55000000000000004">
      <c r="A232" s="19" t="str">
        <f>Table3[[#This Row],[Name]]</f>
        <v>C69 (9) pSC101 mut P3</v>
      </c>
      <c r="C232" s="19" t="str">
        <f>Table3[[#This Row],[Sequence]]</f>
        <v>atCGTCTCcagtttgtccactggaaaatctc</v>
      </c>
      <c r="E232" s="19">
        <v>2.5000000000000001E-2</v>
      </c>
      <c r="F232" s="19" t="s">
        <v>418</v>
      </c>
      <c r="G232" s="19" t="s">
        <v>417</v>
      </c>
      <c r="I232" s="19">
        <v>1</v>
      </c>
    </row>
    <row r="233" spans="1:9" x14ac:dyDescent="0.55000000000000004">
      <c r="A233" s="19" t="str">
        <f>Table3[[#This Row],[Name]]</f>
        <v>C70 (2-5) Mf.lon mut P2</v>
      </c>
      <c r="C233" s="19" t="str">
        <f>Table3[[#This Row],[Sequence]]</f>
        <v>gctaCGTCTCaAGCAGACGGACCGTCTTTCGGAAC</v>
      </c>
      <c r="E233" s="19">
        <v>2.5000000000000001E-2</v>
      </c>
      <c r="F233" s="19" t="s">
        <v>418</v>
      </c>
      <c r="G233" s="19" t="s">
        <v>417</v>
      </c>
      <c r="I233" s="19">
        <v>1</v>
      </c>
    </row>
    <row r="234" spans="1:9" x14ac:dyDescent="0.55000000000000004">
      <c r="A234" s="19" t="str">
        <f>Table3[[#This Row],[Name]]</f>
        <v>C71 (2-5) Mf.lon mut P3</v>
      </c>
      <c r="C234" s="19" t="str">
        <f>Table3[[#This Row],[Sequence]]</f>
        <v>atcgaCGTCTCaTGCTGGTATCACCATCAC</v>
      </c>
      <c r="E234" s="19">
        <v>2.5000000000000001E-2</v>
      </c>
      <c r="F234" s="19" t="s">
        <v>418</v>
      </c>
      <c r="G234" s="19" t="s">
        <v>417</v>
      </c>
      <c r="I234" s="19">
        <v>1</v>
      </c>
    </row>
    <row r="235" spans="1:9" x14ac:dyDescent="0.55000000000000004">
      <c r="A235" s="19" t="str">
        <f>Table3[[#This Row],[Name]]</f>
        <v>C72 (7) SpcR.r 2 P1</v>
      </c>
      <c r="C235" s="19" t="str">
        <f>Table3[[#This Row],[Sequence]]</f>
        <v>atgcCGTCTCactcgTACAttatttgccgactaccttgg</v>
      </c>
      <c r="E235" s="19">
        <v>2.5000000000000001E-2</v>
      </c>
      <c r="F235" s="19" t="s">
        <v>418</v>
      </c>
      <c r="G235" s="19" t="s">
        <v>417</v>
      </c>
      <c r="I235" s="19">
        <v>1</v>
      </c>
    </row>
    <row r="236" spans="1:9" x14ac:dyDescent="0.55000000000000004">
      <c r="A236" s="19" t="str">
        <f>Table3[[#This Row],[Name]]</f>
        <v>C73 (7) SpcR.r 2 P2</v>
      </c>
      <c r="C236" s="19" t="str">
        <f>Table3[[#This Row],[Sequence]]</f>
        <v>gcatCGTCTCactctACTCccagccaggacagaaatgc</v>
      </c>
      <c r="E236" s="19">
        <v>2.5000000000000001E-2</v>
      </c>
      <c r="F236" s="19" t="s">
        <v>418</v>
      </c>
      <c r="G236" s="19" t="s">
        <v>417</v>
      </c>
      <c r="I236" s="19">
        <v>1</v>
      </c>
    </row>
    <row r="237" spans="1:9" x14ac:dyDescent="0.55000000000000004">
      <c r="A237" s="19" t="str">
        <f>Table3[[#This Row],[Name]]</f>
        <v>C74 (7) ChlR P2</v>
      </c>
      <c r="C237" s="19" t="str">
        <f>Table3[[#This Row],[Sequence]]</f>
        <v>atcgCGTCTCaGTAAtactccatctggatttgttc</v>
      </c>
      <c r="E237" s="19">
        <v>2.5000000000000001E-2</v>
      </c>
      <c r="F237" s="19" t="s">
        <v>418</v>
      </c>
      <c r="G237" s="19" t="s">
        <v>417</v>
      </c>
      <c r="I237" s="19">
        <v>1</v>
      </c>
    </row>
    <row r="238" spans="1:9" x14ac:dyDescent="0.55000000000000004">
      <c r="A238" s="19" t="str">
        <f>Table3[[#This Row],[Name]]</f>
        <v>C75 (7) ChlR P3</v>
      </c>
      <c r="C238" s="19" t="str">
        <f>Table3[[#This Row],[Sequence]]</f>
        <v>cgatCGTCTCaTTACgccccgccctgcc</v>
      </c>
      <c r="E238" s="19">
        <v>2.5000000000000001E-2</v>
      </c>
      <c r="F238" s="19" t="s">
        <v>418</v>
      </c>
      <c r="G238" s="19" t="s">
        <v>417</v>
      </c>
      <c r="I238" s="19">
        <v>1</v>
      </c>
    </row>
    <row r="239" spans="1:9" x14ac:dyDescent="0.55000000000000004">
      <c r="A239" s="19" t="str">
        <f>Table3[[#This Row],[Name]]</f>
        <v>C76 (34) Mf.lon P1</v>
      </c>
      <c r="C239" s="19" t="str">
        <f>Table3[[#This Row],[Sequence]]</f>
        <v>atgcCGTCTCactcgCGACgaattcattaaagaggagaaag</v>
      </c>
      <c r="E239" s="19">
        <v>2.5000000000000001E-2</v>
      </c>
      <c r="F239" s="19" t="s">
        <v>418</v>
      </c>
      <c r="G239" s="19" t="s">
        <v>417</v>
      </c>
      <c r="I239" s="19">
        <v>1</v>
      </c>
    </row>
    <row r="240" spans="1:9" x14ac:dyDescent="0.55000000000000004">
      <c r="A240" s="19" t="str">
        <f>Table3[[#This Row],[Name]]</f>
        <v>C77 (34) Mf.lon P2</v>
      </c>
      <c r="C240" s="19" t="str">
        <f>Table3[[#This Row],[Sequence]]</f>
        <v>gcatCGTCTCactctGCCAttattattttgttttaaaaactattgca</v>
      </c>
      <c r="E240" s="19">
        <v>2.5000000000000001E-2</v>
      </c>
      <c r="F240" s="19" t="s">
        <v>418</v>
      </c>
      <c r="G240" s="19" t="s">
        <v>417</v>
      </c>
      <c r="I240" s="19">
        <v>1</v>
      </c>
    </row>
    <row r="241" spans="1:9" x14ac:dyDescent="0.55000000000000004">
      <c r="A241" s="19" t="str">
        <f>Table3[[#This Row],[Name]]</f>
        <v>C78 (2) PL-lacO1 P1</v>
      </c>
      <c r="C241" s="19" t="str">
        <f>Table3[[#This Row],[Sequence]]</f>
        <v>atgcCGTCTCactcgCTTCaattgtgagcggataacaattgaca</v>
      </c>
      <c r="E241" s="19">
        <v>2.5000000000000001E-2</v>
      </c>
      <c r="F241" s="19" t="s">
        <v>418</v>
      </c>
      <c r="G241" s="19" t="s">
        <v>417</v>
      </c>
      <c r="I241" s="19">
        <v>1</v>
      </c>
    </row>
    <row r="242" spans="1:9" x14ac:dyDescent="0.55000000000000004">
      <c r="A242" s="19" t="str">
        <f>Table3[[#This Row],[Name]]</f>
        <v>C79 (2) glpTp P1</v>
      </c>
      <c r="C242" s="19" t="str">
        <f>Table3[[#This Row],[Sequence]]</f>
        <v>atgcCGTCTCactcgCTTCgaaagtgaaacgtgatttcatgc</v>
      </c>
      <c r="E242" s="19">
        <v>2.5000000000000001E-2</v>
      </c>
      <c r="F242" s="19" t="s">
        <v>418</v>
      </c>
      <c r="G242" s="19" t="s">
        <v>417</v>
      </c>
      <c r="I242" s="19">
        <v>1</v>
      </c>
    </row>
    <row r="243" spans="1:9" x14ac:dyDescent="0.55000000000000004">
      <c r="A243" s="19" t="str">
        <f>Table3[[#This Row],[Name]]</f>
        <v>C80 (2) glpTp P2</v>
      </c>
      <c r="C243" s="19" t="str">
        <f>Table3[[#This Row],[Sequence]]</f>
        <v>gcatCGTCTCactctGTCGgaacctgccgtttcttg</v>
      </c>
      <c r="E243" s="19">
        <v>2.5000000000000001E-2</v>
      </c>
      <c r="F243" s="19" t="s">
        <v>418</v>
      </c>
      <c r="G243" s="19" t="s">
        <v>417</v>
      </c>
      <c r="I243" s="19">
        <v>1</v>
      </c>
    </row>
    <row r="244" spans="1:9" x14ac:dyDescent="0.55000000000000004">
      <c r="A244" s="19" t="str">
        <f>Table3[[#This Row],[Name]]</f>
        <v>C81 (5) rrfBt1 P2</v>
      </c>
      <c r="C244" s="19" t="str">
        <f>Table3[[#This Row],[Sequence]]</f>
        <v>gcatCGTCTCactctCAGCgagagcgttcaccgacaaac</v>
      </c>
      <c r="E244" s="19">
        <v>2.5000000000000001E-2</v>
      </c>
      <c r="F244" s="19" t="s">
        <v>418</v>
      </c>
      <c r="G244" s="19" t="s">
        <v>417</v>
      </c>
      <c r="I244" s="19">
        <v>1</v>
      </c>
    </row>
    <row r="245" spans="1:9" x14ac:dyDescent="0.55000000000000004">
      <c r="A245" s="19" t="str">
        <f>Table3[[#This Row],[Name]]</f>
        <v>D01 (3a) RiboJ00 P1</v>
      </c>
      <c r="C245" s="19" t="str">
        <f>Table3[[#This Row],[Sequence]]</f>
        <v>atgcCGTCTCactcgCGACagctgtcaccggatgtg</v>
      </c>
      <c r="E245" s="19">
        <v>2.5000000000000001E-2</v>
      </c>
      <c r="F245" s="19" t="s">
        <v>418</v>
      </c>
      <c r="G245" s="19" t="s">
        <v>417</v>
      </c>
      <c r="I245" s="19">
        <v>1</v>
      </c>
    </row>
    <row r="246" spans="1:9" x14ac:dyDescent="0.55000000000000004">
      <c r="A246" s="19" t="str">
        <f>Table3[[#This Row],[Name]]</f>
        <v>D02 (3a) LtsvJ P1</v>
      </c>
      <c r="C246" s="19" t="str">
        <f>Table3[[#This Row],[Sequence]]</f>
        <v>atgcCGTCTCactcgCGACagtacgtctgagcgtgat</v>
      </c>
      <c r="E246" s="19">
        <v>2.5000000000000001E-2</v>
      </c>
      <c r="F246" s="19" t="s">
        <v>418</v>
      </c>
      <c r="G246" s="19" t="s">
        <v>417</v>
      </c>
      <c r="I246" s="19">
        <v>1</v>
      </c>
    </row>
    <row r="247" spans="1:9" x14ac:dyDescent="0.55000000000000004">
      <c r="A247" s="19" t="str">
        <f>Table3[[#This Row],[Name]]</f>
        <v>D03 (3a) SccJ P1</v>
      </c>
      <c r="C247" s="19" t="str">
        <f>Table3[[#This Row],[Sequence]]</f>
        <v>atgcCGTCTCactcgCGACagatgctgtagtgggatg</v>
      </c>
      <c r="E247" s="19">
        <v>2.5000000000000001E-2</v>
      </c>
      <c r="F247" s="19" t="s">
        <v>418</v>
      </c>
      <c r="G247" s="19" t="s">
        <v>417</v>
      </c>
      <c r="I247" s="19">
        <v>1</v>
      </c>
    </row>
    <row r="248" spans="1:9" x14ac:dyDescent="0.55000000000000004">
      <c r="A248" s="19" t="str">
        <f>Table3[[#This Row],[Name]]</f>
        <v>D04 (3a) PlmJ P1</v>
      </c>
      <c r="C248" s="19" t="str">
        <f>Table3[[#This Row],[Sequence]]</f>
        <v>atgcCGTCTCactcgCGACagtcataagtctgggctaag</v>
      </c>
      <c r="E248" s="19">
        <v>2.5000000000000001E-2</v>
      </c>
      <c r="F248" s="19" t="s">
        <v>418</v>
      </c>
      <c r="G248" s="19" t="s">
        <v>417</v>
      </c>
      <c r="I248" s="19">
        <v>1</v>
      </c>
    </row>
    <row r="249" spans="1:9" x14ac:dyDescent="0.55000000000000004">
      <c r="A249" s="19" t="str">
        <f>Table3[[#This Row],[Name]]</f>
        <v>D05 (3a) ribozyme P2</v>
      </c>
      <c r="C249" s="19" t="str">
        <f>Table3[[#This Row],[Sequence]]</f>
        <v>gcatCGTCTCactctCTGAttaaacaaaattatttgtagagg</v>
      </c>
      <c r="E249" s="19">
        <v>2.5000000000000001E-2</v>
      </c>
      <c r="F249" s="19" t="s">
        <v>418</v>
      </c>
      <c r="G249" s="19" t="s">
        <v>417</v>
      </c>
      <c r="I249" s="19">
        <v>1</v>
      </c>
    </row>
    <row r="250" spans="1:9" x14ac:dyDescent="0.55000000000000004">
      <c r="A250" s="19" t="str">
        <f>Table3[[#This Row],[Name]]</f>
        <v>D06 (3a) hairpin O1</v>
      </c>
      <c r="C250" s="19" t="str">
        <f>Table3[[#This Row],[Sequence]]</f>
        <v>CCTCtacaaataattttgtttaaTCAG</v>
      </c>
      <c r="E250" s="19">
        <v>2.5000000000000001E-2</v>
      </c>
      <c r="F250" s="19" t="s">
        <v>418</v>
      </c>
      <c r="G250" s="19" t="s">
        <v>417</v>
      </c>
      <c r="I250" s="19">
        <v>1</v>
      </c>
    </row>
    <row r="251" spans="1:9" x14ac:dyDescent="0.55000000000000004">
      <c r="A251" s="19" t="str">
        <f>Table3[[#This Row],[Name]]</f>
        <v>D07 (3a) hairpin O2</v>
      </c>
      <c r="C251" s="19" t="str">
        <f>Table3[[#This Row],[Sequence]]</f>
        <v>CTCTCTGAttaaacaaaattatttgta</v>
      </c>
      <c r="E251" s="19">
        <v>2.5000000000000001E-2</v>
      </c>
      <c r="F251" s="19" t="s">
        <v>418</v>
      </c>
      <c r="G251" s="19" t="s">
        <v>417</v>
      </c>
      <c r="I251" s="19">
        <v>1</v>
      </c>
    </row>
    <row r="252" spans="1:9" x14ac:dyDescent="0.55000000000000004">
      <c r="A252" s="19" t="str">
        <f>Table3[[#This Row],[Name]]</f>
        <v>D08 (3a) SarJ O1</v>
      </c>
      <c r="C252" s="19" t="str">
        <f>Table3[[#This Row],[Sequence]]</f>
        <v>ctcgCGACagactgtcgccggatgtgtatccgacctgacgatggcccaaaagggccgaaacagt</v>
      </c>
      <c r="E252" s="19">
        <v>2.5000000000000001E-2</v>
      </c>
      <c r="F252" s="19" t="s">
        <v>418</v>
      </c>
      <c r="G252" s="19" t="s">
        <v>417</v>
      </c>
      <c r="I252" s="19">
        <v>1</v>
      </c>
    </row>
    <row r="253" spans="1:9" x14ac:dyDescent="0.55000000000000004">
      <c r="A253" s="19" t="str">
        <f>Table3[[#This Row],[Name]]</f>
        <v>D09 (3a) SarJ O2</v>
      </c>
      <c r="C253" s="19" t="str">
        <f>Table3[[#This Row],[Sequence]]</f>
        <v>GAGGactgtttcggcccttttgggccatcgtcaggtcggatacacatccggcgacagtctGTCG</v>
      </c>
      <c r="E253" s="19">
        <v>2.5000000000000001E-2</v>
      </c>
      <c r="F253" s="19" t="s">
        <v>418</v>
      </c>
      <c r="G253" s="19" t="s">
        <v>417</v>
      </c>
      <c r="I253" s="19">
        <v>1</v>
      </c>
    </row>
    <row r="254" spans="1:9" x14ac:dyDescent="0.55000000000000004">
      <c r="A254" s="19" t="str">
        <f>Table3[[#This Row],[Name]]</f>
        <v>D10 (3a) BydvJ O1</v>
      </c>
      <c r="C254" s="19" t="str">
        <f>Table3[[#This Row],[Sequence]]</f>
        <v>CTCGCGACagggtgtctcaaggtgcgtaccttgactgatgagtccgaaaggacgaaacacc</v>
      </c>
      <c r="E254" s="19">
        <v>2.5000000000000001E-2</v>
      </c>
      <c r="F254" s="19" t="s">
        <v>418</v>
      </c>
      <c r="G254" s="19" t="s">
        <v>417</v>
      </c>
      <c r="I254" s="19">
        <v>1</v>
      </c>
    </row>
    <row r="255" spans="1:9" x14ac:dyDescent="0.55000000000000004">
      <c r="A255" s="19" t="str">
        <f>Table3[[#This Row],[Name]]</f>
        <v>D11 (3a) BydvJ O2</v>
      </c>
      <c r="C255" s="19" t="str">
        <f>Table3[[#This Row],[Sequence]]</f>
        <v>GAGGggtgtttcgtcctttcggactcatcagtcaaggtacgcaccttgagacaccctGTCG</v>
      </c>
      <c r="E255" s="19">
        <v>2.5000000000000001E-2</v>
      </c>
      <c r="F255" s="19" t="s">
        <v>418</v>
      </c>
      <c r="G255" s="19" t="s">
        <v>417</v>
      </c>
      <c r="I255" s="19">
        <v>1</v>
      </c>
    </row>
    <row r="256" spans="1:9" x14ac:dyDescent="0.55000000000000004">
      <c r="A256" s="19" t="str">
        <f>Table3[[#This Row],[Name]]</f>
        <v>D12 (3b) BBa_B0034 O1</v>
      </c>
      <c r="C256" s="19" t="str">
        <f>Table3[[#This Row],[Sequence]]</f>
        <v>ctcgTCAGctagtgAAAGAGGAGAAAtactaAATG</v>
      </c>
      <c r="E256" s="19">
        <v>2.5000000000000001E-2</v>
      </c>
      <c r="F256" s="19" t="s">
        <v>418</v>
      </c>
      <c r="G256" s="19" t="s">
        <v>417</v>
      </c>
      <c r="I256" s="19">
        <v>1</v>
      </c>
    </row>
    <row r="257" spans="1:9" x14ac:dyDescent="0.55000000000000004">
      <c r="A257" s="19" t="str">
        <f>Table3[[#This Row],[Name]]</f>
        <v>D13 (3b) BBa_B0034 O2</v>
      </c>
      <c r="C257" s="19" t="str">
        <f>Table3[[#This Row],[Sequence]]</f>
        <v>ctctCATTtagtaTTTCTCCTCTTTcactagCTGA</v>
      </c>
      <c r="E257" s="19">
        <v>2.5000000000000001E-2</v>
      </c>
      <c r="F257" s="19" t="s">
        <v>418</v>
      </c>
      <c r="G257" s="19" t="s">
        <v>417</v>
      </c>
      <c r="I257" s="19">
        <v>1</v>
      </c>
    </row>
    <row r="258" spans="1:9" x14ac:dyDescent="0.55000000000000004">
      <c r="A258" s="19" t="str">
        <f>Table3[[#This Row],[Name]]</f>
        <v>D14 (2) PL-lacO×3 P1</v>
      </c>
      <c r="C258" s="19" t="str">
        <f>Table3[[#This Row],[Sequence]]</f>
        <v>atgcCGTCTCactcgCTTCaagcgcgtctgaatagg</v>
      </c>
      <c r="E258" s="19">
        <v>2.5000000000000001E-2</v>
      </c>
      <c r="F258" s="19" t="s">
        <v>418</v>
      </c>
      <c r="G258" s="19" t="s">
        <v>417</v>
      </c>
      <c r="I258" s="19">
        <v>1</v>
      </c>
    </row>
    <row r="259" spans="1:9" x14ac:dyDescent="0.55000000000000004">
      <c r="A259" s="19" t="str">
        <f>Table3[[#This Row],[Name]]</f>
        <v>D15 (2) PL-lacO×3 P2</v>
      </c>
      <c r="C259" s="19" t="str">
        <f>Table3[[#This Row],[Sequence]]</f>
        <v>gcatCGTCTCactctGTCGaattgttatccgctcacaattgtgct</v>
      </c>
      <c r="E259" s="19">
        <v>2.5000000000000001E-2</v>
      </c>
      <c r="F259" s="19" t="s">
        <v>418</v>
      </c>
      <c r="G259" s="19" t="s">
        <v>417</v>
      </c>
      <c r="I259" s="19">
        <v>1</v>
      </c>
    </row>
    <row r="260" spans="1:9" x14ac:dyDescent="0.55000000000000004">
      <c r="A260" s="19" t="str">
        <f>Table3[[#This Row],[Name]]</f>
        <v>D16 (4r) glpTp-sfgfp P1</v>
      </c>
      <c r="C260" s="19" t="str">
        <f>Table3[[#This Row],[Sequence]]</f>
        <v>gcCGTCTCactcgAATGtGAGACCatacatcgcGAA</v>
      </c>
      <c r="E260" s="19">
        <v>2.5000000000000001E-2</v>
      </c>
      <c r="F260" s="19" t="s">
        <v>418</v>
      </c>
      <c r="G260" s="19" t="s">
        <v>417</v>
      </c>
      <c r="I260" s="19">
        <v>1</v>
      </c>
    </row>
    <row r="261" spans="1:9" x14ac:dyDescent="0.55000000000000004">
      <c r="A261" s="19" t="str">
        <f>Table3[[#This Row],[Name]]</f>
        <v>D17 (4r) glpTp-sfgfp P2</v>
      </c>
      <c r="C261" s="19" t="str">
        <f>Table3[[#This Row],[Sequence]]</f>
        <v>atCGTCTCactctGCCAtGAGACCtatcatcgcga</v>
      </c>
      <c r="E261" s="19">
        <v>2.5000000000000001E-2</v>
      </c>
      <c r="F261" s="19" t="s">
        <v>418</v>
      </c>
      <c r="G261" s="19" t="s">
        <v>417</v>
      </c>
      <c r="I261" s="19">
        <v>1</v>
      </c>
    </row>
    <row r="262" spans="1:9" x14ac:dyDescent="0.55000000000000004">
      <c r="A262" s="19" t="str">
        <f>Table3[[#This Row],[Name]]</f>
        <v>D18 (3r) creDt-ccdB P1</v>
      </c>
      <c r="C262" s="19" t="str">
        <f>Table3[[#This Row],[Sequence]]</f>
        <v>gtCGTCTCactcgCGACtGAGACCggtaataaggttgaaaaataaaaacgg</v>
      </c>
      <c r="E262" s="19">
        <v>2.5000000000000001E-2</v>
      </c>
      <c r="F262" s="19" t="s">
        <v>418</v>
      </c>
      <c r="G262" s="19" t="s">
        <v>417</v>
      </c>
      <c r="I262" s="19">
        <v>1</v>
      </c>
    </row>
    <row r="263" spans="1:9" x14ac:dyDescent="0.55000000000000004">
      <c r="A263" s="19" t="str">
        <f>Table3[[#This Row],[Name]]</f>
        <v>D19 (3r) creDt-ccdB P2</v>
      </c>
      <c r="C263" s="19" t="str">
        <f>Table3[[#This Row],[Sequence]]</f>
        <v>caCGTCTCgtaatcggctttaccaccg</v>
      </c>
      <c r="E263" s="19">
        <v>2.5000000000000001E-2</v>
      </c>
      <c r="F263" s="19" t="s">
        <v>418</v>
      </c>
      <c r="G263" s="19" t="s">
        <v>417</v>
      </c>
      <c r="I263" s="19">
        <v>1</v>
      </c>
    </row>
    <row r="264" spans="1:9" x14ac:dyDescent="0.55000000000000004">
      <c r="A264" s="19" t="str">
        <f>Table3[[#This Row],[Name]]</f>
        <v>D20 (3r) creDt-ccdB P3</v>
      </c>
      <c r="C264" s="19" t="str">
        <f>Table3[[#This Row],[Sequence]]</f>
        <v>gtCGTCTCaattattatattccccagaacatcagg</v>
      </c>
      <c r="E264" s="19">
        <v>2.5000000000000001E-2</v>
      </c>
      <c r="F264" s="19" t="s">
        <v>418</v>
      </c>
      <c r="G264" s="19" t="s">
        <v>417</v>
      </c>
      <c r="I264" s="19">
        <v>1</v>
      </c>
    </row>
    <row r="265" spans="1:9" x14ac:dyDescent="0.55000000000000004">
      <c r="A265" s="19" t="str">
        <f>Table3[[#This Row],[Name]]</f>
        <v>D21 (3r) creDt-ccdB P6</v>
      </c>
      <c r="C265" s="19" t="str">
        <f>Table3[[#This Row],[Sequence]]</f>
        <v>caCGTCTCactctCATTtGAGACCttgacggctagctcagtcc</v>
      </c>
      <c r="E265" s="19">
        <v>2.5000000000000001E-2</v>
      </c>
      <c r="F265" s="19" t="s">
        <v>418</v>
      </c>
      <c r="G265" s="19" t="s">
        <v>417</v>
      </c>
      <c r="I265" s="19">
        <v>1</v>
      </c>
    </row>
    <row r="266" spans="1:9" x14ac:dyDescent="0.55000000000000004">
      <c r="A266" s="19" t="str">
        <f>Table3[[#This Row],[Name]]</f>
        <v>D22 (3r) creDt-ccdB P5</v>
      </c>
      <c r="C266" s="19" t="str">
        <f>Table3[[#This Row],[Sequence]]</f>
        <v>gtCGTCTCAAACGGAcACCGGCACACT</v>
      </c>
      <c r="E266" s="19">
        <v>2.5000000000000001E-2</v>
      </c>
      <c r="F266" s="19" t="s">
        <v>418</v>
      </c>
      <c r="G266" s="19" t="s">
        <v>417</v>
      </c>
      <c r="I266" s="19">
        <v>1</v>
      </c>
    </row>
    <row r="267" spans="1:9" x14ac:dyDescent="0.55000000000000004">
      <c r="A267" s="19" t="str">
        <f>Table3[[#This Row],[Name]]</f>
        <v>D23 (3r) creDt-ccdB P4</v>
      </c>
      <c r="C267" s="19" t="str">
        <f>Table3[[#This Row],[Sequence]]</f>
        <v>caCGTCTCACGTTATCGGGGAAGAAG</v>
      </c>
      <c r="E267" s="19">
        <v>2.5000000000000001E-2</v>
      </c>
      <c r="F267" s="19" t="s">
        <v>418</v>
      </c>
      <c r="G267" s="19" t="s">
        <v>417</v>
      </c>
      <c r="I267" s="19">
        <v>1</v>
      </c>
    </row>
    <row r="268" spans="1:9" x14ac:dyDescent="0.55000000000000004">
      <c r="A268" s="19" t="str">
        <f>Table3[[#This Row],[Name]]</f>
        <v>D24 (4) mCherry2 P1</v>
      </c>
      <c r="C268" s="19" t="str">
        <f>Table3[[#This Row],[Sequence]]</f>
        <v>gtCGTCTCactcgAATGgtgagtaaaggagaag</v>
      </c>
      <c r="E268" s="19">
        <v>2.5000000000000001E-2</v>
      </c>
      <c r="F268" s="19" t="s">
        <v>418</v>
      </c>
      <c r="G268" s="19" t="s">
        <v>417</v>
      </c>
      <c r="I268" s="19">
        <v>1</v>
      </c>
    </row>
    <row r="269" spans="1:9" x14ac:dyDescent="0.55000000000000004">
      <c r="A269" s="19" t="str">
        <f>Table3[[#This Row],[Name]]</f>
        <v>D25 (4) mCherry2 P4</v>
      </c>
      <c r="C269" s="19" t="str">
        <f>Table3[[#This Row],[Sequence]]</f>
        <v>caCGTCTCactctGCCAttatttgtatagttcatccatgc</v>
      </c>
      <c r="E269" s="19">
        <v>2.5000000000000001E-2</v>
      </c>
      <c r="F269" s="19" t="s">
        <v>418</v>
      </c>
      <c r="G269" s="19" t="s">
        <v>417</v>
      </c>
      <c r="I269" s="19">
        <v>1</v>
      </c>
    </row>
    <row r="270" spans="1:9" x14ac:dyDescent="0.55000000000000004">
      <c r="A270" s="19" t="str">
        <f>Table3[[#This Row],[Name]]</f>
        <v>D26 (7) AprR P1</v>
      </c>
      <c r="C270" s="19" t="str">
        <f>Table3[[#This Row],[Sequence]]</f>
        <v>gtCGTCTCactcgTACAttatcagccaatcgactggc</v>
      </c>
      <c r="E270" s="19">
        <v>2.5000000000000001E-2</v>
      </c>
      <c r="F270" s="19" t="s">
        <v>418</v>
      </c>
      <c r="G270" s="19" t="s">
        <v>417</v>
      </c>
      <c r="I270" s="19">
        <v>1</v>
      </c>
    </row>
    <row r="271" spans="1:9" x14ac:dyDescent="0.55000000000000004">
      <c r="A271" s="19" t="str">
        <f>Table3[[#This Row],[Name]]</f>
        <v>D27 (7) AprR P2</v>
      </c>
      <c r="C271" s="19" t="str">
        <f>Table3[[#This Row],[Sequence]]</f>
        <v>caCGTCTCactctACTCgaaaatgccggcctttgaatgggttcatgtgcagctcc</v>
      </c>
      <c r="E271" s="19">
        <v>2.5000000000000001E-2</v>
      </c>
      <c r="F271" s="19" t="s">
        <v>418</v>
      </c>
      <c r="G271" s="19" t="s">
        <v>417</v>
      </c>
      <c r="I271" s="19">
        <v>1</v>
      </c>
    </row>
    <row r="272" spans="1:9" x14ac:dyDescent="0.55000000000000004">
      <c r="A272" s="19" t="str">
        <f>Table3[[#This Row],[Name]]</f>
        <v>D28 (7) GenR P1</v>
      </c>
      <c r="C272" s="19" t="str">
        <f>Table3[[#This Row],[Sequence]]</f>
        <v>gtCGTCTCactcgTACAattattaggtggcggtacttgg</v>
      </c>
      <c r="E272" s="19">
        <v>2.5000000000000001E-2</v>
      </c>
      <c r="F272" s="19" t="s">
        <v>418</v>
      </c>
      <c r="G272" s="19" t="s">
        <v>417</v>
      </c>
      <c r="I272" s="19">
        <v>1</v>
      </c>
    </row>
    <row r="273" spans="1:9" x14ac:dyDescent="0.55000000000000004">
      <c r="A273" s="19" t="str">
        <f>Table3[[#This Row],[Name]]</f>
        <v>D29 (7) GenR P2</v>
      </c>
      <c r="C273" s="19" t="str">
        <f>Table3[[#This Row],[Sequence]]</f>
        <v>caCGTCTCagacgtagccacctactc</v>
      </c>
      <c r="E273" s="19">
        <v>2.5000000000000001E-2</v>
      </c>
      <c r="F273" s="19" t="s">
        <v>418</v>
      </c>
      <c r="G273" s="19" t="s">
        <v>417</v>
      </c>
      <c r="I273" s="19">
        <v>1</v>
      </c>
    </row>
    <row r="274" spans="1:9" x14ac:dyDescent="0.55000000000000004">
      <c r="A274" s="19" t="str">
        <f>Table3[[#This Row],[Name]]</f>
        <v>D30 (7) GenR P3</v>
      </c>
      <c r="C274" s="19" t="str">
        <f>Table3[[#This Row],[Sequence]]</f>
        <v>gtCGTCTCacgtcgccgaactcacgac</v>
      </c>
      <c r="E274" s="19">
        <v>2.5000000000000001E-2</v>
      </c>
      <c r="F274" s="19" t="s">
        <v>418</v>
      </c>
      <c r="G274" s="19" t="s">
        <v>417</v>
      </c>
      <c r="I274" s="19">
        <v>1</v>
      </c>
    </row>
    <row r="275" spans="1:9" x14ac:dyDescent="0.55000000000000004">
      <c r="A275" s="19" t="str">
        <f>Table3[[#This Row],[Name]]</f>
        <v>D31 (7) GenR P4</v>
      </c>
      <c r="C275" s="19" t="str">
        <f>Table3[[#This Row],[Sequence]]</f>
        <v>caCGTCTCactctACTCgacgcacaccgtggaaac</v>
      </c>
      <c r="E275" s="19">
        <v>2.5000000000000001E-2</v>
      </c>
      <c r="F275" s="19" t="s">
        <v>418</v>
      </c>
      <c r="G275" s="19" t="s">
        <v>417</v>
      </c>
      <c r="I275" s="19">
        <v>1</v>
      </c>
    </row>
    <row r="276" spans="1:9" x14ac:dyDescent="0.55000000000000004">
      <c r="A276" s="19" t="str">
        <f>Table3[[#This Row],[Name]]</f>
        <v>D32 (9) pBBR1 P1</v>
      </c>
      <c r="C276" s="19" t="str">
        <f>Table3[[#This Row],[Sequence]]</f>
        <v>gtCGTCTCactcgCCAAaggcggctacagccgatag</v>
      </c>
      <c r="E276" s="19">
        <v>2.5000000000000001E-2</v>
      </c>
      <c r="F276" s="19" t="s">
        <v>418</v>
      </c>
      <c r="G276" s="19" t="s">
        <v>417</v>
      </c>
      <c r="I276" s="19">
        <v>1</v>
      </c>
    </row>
    <row r="277" spans="1:9" x14ac:dyDescent="0.55000000000000004">
      <c r="A277" s="19" t="str">
        <f>Table3[[#This Row],[Name]]</f>
        <v>D33 (9) pBBR1 P2</v>
      </c>
      <c r="C277" s="19" t="str">
        <f>Table3[[#This Row],[Sequence]]</f>
        <v>caCGTCTCactctCCGTcccgagcctcacggc</v>
      </c>
      <c r="E277" s="19">
        <v>2.5000000000000001E-2</v>
      </c>
      <c r="F277" s="19" t="s">
        <v>418</v>
      </c>
      <c r="G277" s="19" t="s">
        <v>417</v>
      </c>
      <c r="I277" s="19">
        <v>1</v>
      </c>
    </row>
    <row r="278" spans="1:9" x14ac:dyDescent="0.55000000000000004">
      <c r="A278" s="19" t="str">
        <f>Table3[[#This Row],[Name]]</f>
        <v>D34 (9) pBBR1-mob P1</v>
      </c>
      <c r="C278" s="19" t="str">
        <f>Table3[[#This Row],[Sequence]]</f>
        <v>gtCGTCTCactcgCCAActcggggggcaggcgggc</v>
      </c>
      <c r="E278" s="19">
        <v>2.5000000000000001E-2</v>
      </c>
      <c r="F278" s="19" t="s">
        <v>418</v>
      </c>
      <c r="G278" s="19" t="s">
        <v>417</v>
      </c>
      <c r="I278" s="19">
        <v>1</v>
      </c>
    </row>
    <row r="279" spans="1:9" x14ac:dyDescent="0.55000000000000004">
      <c r="A279" s="19" t="str">
        <f>Table3[[#This Row],[Name]]</f>
        <v>D35 (9) pBBR1-mob P2</v>
      </c>
      <c r="C279" s="19" t="str">
        <f>Table3[[#This Row],[Sequence]]</f>
        <v>caCGTCTCagagtctcgcgctcgcggtag</v>
      </c>
      <c r="E279" s="19">
        <v>2.5000000000000001E-2</v>
      </c>
      <c r="F279" s="19" t="s">
        <v>418</v>
      </c>
      <c r="G279" s="19" t="s">
        <v>417</v>
      </c>
      <c r="I279" s="19">
        <v>1</v>
      </c>
    </row>
    <row r="280" spans="1:9" x14ac:dyDescent="0.55000000000000004">
      <c r="A280" s="19" t="str">
        <f>Table3[[#This Row],[Name]]</f>
        <v>D36 (9) pBBR1-mob P3</v>
      </c>
      <c r="C280" s="19" t="str">
        <f>Table3[[#This Row],[Sequence]]</f>
        <v>gtCGTCTCaactcccaacgctgacgccagc</v>
      </c>
      <c r="E280" s="19">
        <v>2.5000000000000001E-2</v>
      </c>
      <c r="F280" s="19" t="s">
        <v>418</v>
      </c>
      <c r="G280" s="19" t="s">
        <v>417</v>
      </c>
      <c r="I280" s="19">
        <v>1</v>
      </c>
    </row>
    <row r="281" spans="1:9" x14ac:dyDescent="0.55000000000000004">
      <c r="A281" s="19" t="str">
        <f>Table3[[#This Row],[Name]]</f>
        <v>D37 (9) pBBR1-mob P4</v>
      </c>
      <c r="C281" s="19" t="str">
        <f>Table3[[#This Row],[Sequence]]</f>
        <v>caCGTCTCagccgcaaacgtggtctgg</v>
      </c>
      <c r="E281" s="19">
        <v>2.5000000000000001E-2</v>
      </c>
      <c r="F281" s="19" t="s">
        <v>418</v>
      </c>
      <c r="G281" s="19" t="s">
        <v>417</v>
      </c>
      <c r="I281" s="19">
        <v>1</v>
      </c>
    </row>
    <row r="282" spans="1:9" x14ac:dyDescent="0.55000000000000004">
      <c r="A282" s="19" t="str">
        <f>Table3[[#This Row],[Name]]</f>
        <v>D38 (9) pBBR1-mob P5</v>
      </c>
      <c r="C282" s="19" t="str">
        <f>Table3[[#This Row],[Sequence]]</f>
        <v>gtCGTCTCacggcAgctgtggccgatctagg</v>
      </c>
      <c r="E282" s="19">
        <v>2.5000000000000001E-2</v>
      </c>
      <c r="F282" s="19" t="s">
        <v>418</v>
      </c>
      <c r="G282" s="19" t="s">
        <v>417</v>
      </c>
      <c r="I282" s="19">
        <v>1</v>
      </c>
    </row>
    <row r="283" spans="1:9" x14ac:dyDescent="0.55000000000000004">
      <c r="A283" s="19" t="str">
        <f>Table3[[#This Row],[Name]]</f>
        <v>D39 (9) pBBR1-mob P6</v>
      </c>
      <c r="C283" s="19" t="str">
        <f>Table3[[#This Row],[Sequence]]</f>
        <v>caCGTCTCatcaacgcgctttgagattc</v>
      </c>
      <c r="E283" s="19">
        <v>2.5000000000000001E-2</v>
      </c>
      <c r="F283" s="19" t="s">
        <v>418</v>
      </c>
      <c r="G283" s="19" t="s">
        <v>417</v>
      </c>
      <c r="I283" s="19">
        <v>1</v>
      </c>
    </row>
    <row r="284" spans="1:9" x14ac:dyDescent="0.55000000000000004">
      <c r="A284" s="19" t="str">
        <f>Table3[[#This Row],[Name]]</f>
        <v>D40 (9) pBBR1-mob P7</v>
      </c>
      <c r="C284" s="19" t="str">
        <f>Table3[[#This Row],[Sequence]]</f>
        <v>gtCGTCTCattgaAacgccggaagccgtggc</v>
      </c>
      <c r="E284" s="19">
        <v>2.5000000000000001E-2</v>
      </c>
      <c r="F284" s="19" t="s">
        <v>418</v>
      </c>
      <c r="G284" s="19" t="s">
        <v>417</v>
      </c>
      <c r="I284" s="19">
        <v>1</v>
      </c>
    </row>
    <row r="285" spans="1:9" x14ac:dyDescent="0.55000000000000004">
      <c r="A285" s="19" t="str">
        <f>Table3[[#This Row],[Name]]</f>
        <v>D41 (9) pBBR1-mob P8</v>
      </c>
      <c r="C285" s="19" t="str">
        <f>Table3[[#This Row],[Sequence]]</f>
        <v>caCGTCTCaggctgtctcttgggcttgatcggcc</v>
      </c>
      <c r="E285" s="19">
        <v>2.5000000000000001E-2</v>
      </c>
      <c r="F285" s="19" t="s">
        <v>418</v>
      </c>
      <c r="G285" s="19" t="s">
        <v>417</v>
      </c>
      <c r="I285" s="19">
        <v>1</v>
      </c>
    </row>
    <row r="286" spans="1:9" x14ac:dyDescent="0.55000000000000004">
      <c r="A286" s="19" t="str">
        <f>Table3[[#This Row],[Name]]</f>
        <v>D42 (9) pBBR1-mob P9</v>
      </c>
      <c r="C286" s="19" t="str">
        <f>Table3[[#This Row],[Sequence]]</f>
        <v>gtCGTCTCaAgcccgagaccttcgggag</v>
      </c>
      <c r="E286" s="19">
        <v>2.5000000000000001E-2</v>
      </c>
      <c r="F286" s="19" t="s">
        <v>418</v>
      </c>
      <c r="G286" s="19" t="s">
        <v>417</v>
      </c>
      <c r="I286" s="19">
        <v>1</v>
      </c>
    </row>
    <row r="287" spans="1:9" x14ac:dyDescent="0.55000000000000004">
      <c r="A287" s="19" t="str">
        <f>Table3[[#This Row],[Name]]</f>
        <v>D43 (9) pBBR1-mob P10</v>
      </c>
      <c r="C287" s="19" t="str">
        <f>Table3[[#This Row],[Sequence]]</f>
        <v>caCGTCTCtgatacgcctatttttataggt</v>
      </c>
      <c r="E287" s="19">
        <v>2.5000000000000001E-2</v>
      </c>
      <c r="F287" s="19" t="s">
        <v>418</v>
      </c>
      <c r="G287" s="19" t="s">
        <v>417</v>
      </c>
      <c r="I287" s="19">
        <v>1</v>
      </c>
    </row>
    <row r="288" spans="1:9" x14ac:dyDescent="0.55000000000000004">
      <c r="A288" s="19" t="str">
        <f>Table3[[#This Row],[Name]]</f>
        <v>D44 (9) pBBR1-mob P11</v>
      </c>
      <c r="C288" s="19" t="str">
        <f>Table3[[#This Row],[Sequence]]</f>
        <v>gtCGTCTCatatcaaggcggctacagccgatag</v>
      </c>
      <c r="E288" s="19">
        <v>2.5000000000000001E-2</v>
      </c>
      <c r="F288" s="19" t="s">
        <v>418</v>
      </c>
      <c r="G288" s="19" t="s">
        <v>417</v>
      </c>
      <c r="I288" s="19">
        <v>1</v>
      </c>
    </row>
    <row r="289" spans="1:9" x14ac:dyDescent="0.55000000000000004">
      <c r="A289" s="19" t="str">
        <f>Table3[[#This Row],[Name]]</f>
        <v>D45 (7) KanR aph-II P1</v>
      </c>
      <c r="C289" s="19" t="str">
        <f>Table3[[#This Row],[Sequence]]</f>
        <v>gtCGTCTCactcgTACAattattagaagaactcgtcaagaagg</v>
      </c>
      <c r="E289" s="19">
        <v>2.5000000000000001E-2</v>
      </c>
      <c r="F289" s="19" t="s">
        <v>418</v>
      </c>
      <c r="G289" s="19" t="s">
        <v>417</v>
      </c>
      <c r="I289" s="19">
        <v>1</v>
      </c>
    </row>
    <row r="290" spans="1:9" x14ac:dyDescent="0.55000000000000004">
      <c r="A290" s="19" t="str">
        <f>Table3[[#This Row],[Name]]</f>
        <v>D46 (7) KanR aph-II P2</v>
      </c>
      <c r="C290" s="19" t="str">
        <f>Table3[[#This Row],[Sequence]]</f>
        <v>caCGTCTCactctACTCttatggacagcaagcgaaccggaattgccagctggggc</v>
      </c>
      <c r="E290" s="19">
        <v>2.5000000000000001E-2</v>
      </c>
      <c r="F290" s="19" t="s">
        <v>418</v>
      </c>
      <c r="G290" s="19" t="s">
        <v>417</v>
      </c>
      <c r="I290" s="19">
        <v>1</v>
      </c>
    </row>
    <row r="291" spans="1:9" x14ac:dyDescent="0.55000000000000004">
      <c r="A291" s="19" t="str">
        <f>Table3[[#This Row],[Name]]</f>
        <v>D47 (7) UBER P1</v>
      </c>
      <c r="C291" s="19" t="str">
        <f>Table3[[#This Row],[Sequence]]</f>
        <v>gtCGTCTCactcgGAGTgtaattaaacaaaaaacccctacccc</v>
      </c>
      <c r="E291" s="19">
        <v>2.5000000000000001E-2</v>
      </c>
      <c r="F291" s="19" t="s">
        <v>418</v>
      </c>
      <c r="G291" s="19" t="s">
        <v>417</v>
      </c>
      <c r="I291" s="19">
        <v>1</v>
      </c>
    </row>
    <row r="292" spans="1:9" x14ac:dyDescent="0.55000000000000004">
      <c r="A292" s="19" t="str">
        <f>Table3[[#This Row],[Name]]</f>
        <v>D48 (7) UBER P2</v>
      </c>
      <c r="C292" s="19" t="str">
        <f>Table3[[#This Row],[Sequence]]</f>
        <v>caCGTCTCaggtcGccctatagtgagtcgtattaatttatacct</v>
      </c>
      <c r="E292" s="19">
        <v>2.5000000000000001E-2</v>
      </c>
      <c r="F292" s="19" t="s">
        <v>418</v>
      </c>
      <c r="G292" s="19" t="s">
        <v>417</v>
      </c>
      <c r="I292" s="19">
        <v>1</v>
      </c>
    </row>
    <row r="293" spans="1:9" x14ac:dyDescent="0.55000000000000004">
      <c r="A293" s="19" t="str">
        <f>Table3[[#This Row],[Name]]</f>
        <v>D49 (7) UBER P3</v>
      </c>
      <c r="C293" s="19" t="str">
        <f>Table3[[#This Row],[Sequence]]</f>
        <v>gtCGTCTCagaccgacctatcagtgatagaggatcc</v>
      </c>
      <c r="E293" s="19">
        <v>2.5000000000000001E-2</v>
      </c>
      <c r="F293" s="19" t="s">
        <v>418</v>
      </c>
      <c r="G293" s="19" t="s">
        <v>417</v>
      </c>
      <c r="I293" s="19">
        <v>1</v>
      </c>
    </row>
    <row r="294" spans="1:9" x14ac:dyDescent="0.55000000000000004">
      <c r="A294" s="19" t="str">
        <f>Table3[[#This Row],[Name]]</f>
        <v>D50 (7) UBER P4</v>
      </c>
      <c r="C294" s="19" t="str">
        <f>Table3[[#This Row],[Sequence]]</f>
        <v>caCGTCTCactctTTGGatcgatacaaaaaacccctagcc</v>
      </c>
      <c r="E294" s="19">
        <v>2.5000000000000001E-2</v>
      </c>
      <c r="F294" s="19" t="s">
        <v>418</v>
      </c>
      <c r="G294" s="19" t="s">
        <v>417</v>
      </c>
      <c r="I294" s="19">
        <v>1</v>
      </c>
    </row>
    <row r="295" spans="1:9" x14ac:dyDescent="0.55000000000000004">
      <c r="A295" s="19" t="str">
        <f>Table3[[#This Row],[Name]]</f>
        <v>D51 (9) RSF1010 P1</v>
      </c>
      <c r="C295" s="19" t="str">
        <f>Table3[[#This Row],[Sequence]]</f>
        <v>gtCGTCTCactcgCCAAagaaatcatccttagcgaaagc</v>
      </c>
      <c r="E295" s="19">
        <v>2.5000000000000001E-2</v>
      </c>
      <c r="F295" s="19" t="s">
        <v>418</v>
      </c>
      <c r="G295" s="19" t="s">
        <v>417</v>
      </c>
      <c r="I295" s="19">
        <v>1</v>
      </c>
    </row>
    <row r="296" spans="1:9" x14ac:dyDescent="0.55000000000000004">
      <c r="A296" s="19" t="str">
        <f>Table3[[#This Row],[Name]]</f>
        <v>D52 (9) RSF1010 P2</v>
      </c>
      <c r="C296" s="19" t="str">
        <f>Table3[[#This Row],[Sequence]]</f>
        <v>caCGTCTCactctCCGTatagagtggggggggtc</v>
      </c>
      <c r="E296" s="19">
        <v>2.5000000000000001E-2</v>
      </c>
      <c r="F296" s="19" t="s">
        <v>418</v>
      </c>
      <c r="G296" s="19" t="s">
        <v>417</v>
      </c>
      <c r="I296" s="19">
        <v>1</v>
      </c>
    </row>
    <row r="297" spans="1:9" x14ac:dyDescent="0.55000000000000004">
      <c r="A297" s="19" t="str">
        <f>Table3[[#This Row],[Name]]</f>
        <v>D53 RSF1010 P2</v>
      </c>
      <c r="C297" s="19" t="str">
        <f>Table3[[#This Row],[Sequence]]</f>
        <v>caCGTCTCaagtcggccttggccct</v>
      </c>
      <c r="E297" s="19">
        <v>2.5000000000000001E-2</v>
      </c>
      <c r="F297" s="19" t="s">
        <v>418</v>
      </c>
      <c r="G297" s="19" t="s">
        <v>417</v>
      </c>
      <c r="I297" s="19">
        <v>1</v>
      </c>
    </row>
    <row r="298" spans="1:9" x14ac:dyDescent="0.55000000000000004">
      <c r="A298" s="19" t="str">
        <f>Table3[[#This Row],[Name]]</f>
        <v>D54 RSF1010 mobA.Y25F P3</v>
      </c>
      <c r="C298" s="19" t="str">
        <f>Table3[[#This Row],[Sequence]]</f>
        <v>gtCGTCTCagactTcatccagcgcgaaggca</v>
      </c>
      <c r="E298" s="19">
        <v>2.5000000000000001E-2</v>
      </c>
      <c r="F298" s="19" t="s">
        <v>418</v>
      </c>
      <c r="G298" s="19" t="s">
        <v>417</v>
      </c>
      <c r="I298" s="19">
        <v>1</v>
      </c>
    </row>
    <row r="299" spans="1:9" x14ac:dyDescent="0.55000000000000004">
      <c r="A299" s="19" t="str">
        <f>Table3[[#This Row],[Name]]</f>
        <v>D55 (9) RK2 P1</v>
      </c>
      <c r="C299" s="19" t="str">
        <f>Table3[[#This Row],[Sequence]]</f>
        <v>gtCGTCTCactcgCCAAtgctgaacccccagccg</v>
      </c>
      <c r="E299" s="19">
        <v>2.5000000000000001E-2</v>
      </c>
      <c r="F299" s="19" t="s">
        <v>418</v>
      </c>
      <c r="G299" s="19" t="s">
        <v>417</v>
      </c>
      <c r="I299" s="19">
        <v>1</v>
      </c>
    </row>
    <row r="300" spans="1:9" x14ac:dyDescent="0.55000000000000004">
      <c r="A300" s="19" t="str">
        <f>Table3[[#This Row],[Name]]</f>
        <v>D56 (9) RK2 P2</v>
      </c>
      <c r="C300" s="19" t="str">
        <f>Table3[[#This Row],[Sequence]]</f>
        <v>caCGTCTCagaacaggaggcggcaggtttg</v>
      </c>
      <c r="E300" s="19">
        <v>2.5000000000000001E-2</v>
      </c>
      <c r="F300" s="19" t="s">
        <v>418</v>
      </c>
      <c r="G300" s="19" t="s">
        <v>417</v>
      </c>
      <c r="I300" s="19">
        <v>1</v>
      </c>
    </row>
    <row r="301" spans="1:9" x14ac:dyDescent="0.55000000000000004">
      <c r="A301" s="19" t="str">
        <f>Table3[[#This Row],[Name]]</f>
        <v>D57 (9) RK2 P3</v>
      </c>
      <c r="C301" s="19" t="str">
        <f>Table3[[#This Row],[Sequence]]</f>
        <v>gtCGTCTCagttcAagacgacgcgaacgctcca</v>
      </c>
      <c r="E301" s="19">
        <v>2.5000000000000001E-2</v>
      </c>
      <c r="F301" s="19" t="s">
        <v>418</v>
      </c>
      <c r="G301" s="19" t="s">
        <v>417</v>
      </c>
      <c r="I301" s="19">
        <v>1</v>
      </c>
    </row>
    <row r="302" spans="1:9" x14ac:dyDescent="0.55000000000000004">
      <c r="A302" s="19" t="str">
        <f>Table3[[#This Row],[Name]]</f>
        <v>D58 (9) RK2 P4</v>
      </c>
      <c r="C302" s="19" t="str">
        <f>Table3[[#This Row],[Sequence]]</f>
        <v>caCGTCTCcaccgcggcggccggcgttg</v>
      </c>
      <c r="E302" s="19">
        <v>2.5000000000000001E-2</v>
      </c>
      <c r="F302" s="19" t="s">
        <v>418</v>
      </c>
      <c r="G302" s="19" t="s">
        <v>417</v>
      </c>
      <c r="I302" s="19">
        <v>1</v>
      </c>
    </row>
    <row r="303" spans="1:9" x14ac:dyDescent="0.55000000000000004">
      <c r="A303" s="19" t="str">
        <f>Table3[[#This Row],[Name]]</f>
        <v>D59 (9) RK2 O1</v>
      </c>
      <c r="C303" s="19" t="str">
        <f>Table3[[#This Row],[Sequence]]</f>
        <v>cggtgtctcgcacacggcttcgacggcgtttcACGG</v>
      </c>
      <c r="E303" s="19">
        <v>2.5000000000000001E-2</v>
      </c>
      <c r="F303" s="19" t="s">
        <v>418</v>
      </c>
      <c r="G303" s="19" t="s">
        <v>417</v>
      </c>
      <c r="I303" s="19">
        <v>1</v>
      </c>
    </row>
    <row r="304" spans="1:9" x14ac:dyDescent="0.55000000000000004">
      <c r="A304" s="19" t="str">
        <f>Table3[[#This Row],[Name]]</f>
        <v>D60 (9) RK2 O2</v>
      </c>
      <c r="C304" s="19" t="str">
        <f>Table3[[#This Row],[Sequence]]</f>
        <v>ctctCCGTgaaacgccgtcgaagccgtgtgcgagac</v>
      </c>
      <c r="E304" s="19">
        <v>2.5000000000000001E-2</v>
      </c>
      <c r="F304" s="19" t="s">
        <v>418</v>
      </c>
      <c r="G304" s="19" t="s">
        <v>417</v>
      </c>
      <c r="I304" s="19">
        <v>1</v>
      </c>
    </row>
    <row r="305" spans="1:9" x14ac:dyDescent="0.55000000000000004">
      <c r="A305" s="19" t="str">
        <f>Table3[[#This Row],[Name]]</f>
        <v>D61 (9) pET.r P1</v>
      </c>
      <c r="C305" s="19" t="str">
        <f>Table3[[#This Row],[Sequence]]</f>
        <v>gtCGTCTCactcgCCAAttcatcatcagtaacccgt</v>
      </c>
      <c r="E305" s="19">
        <v>2.5000000000000001E-2</v>
      </c>
      <c r="F305" s="19" t="s">
        <v>418</v>
      </c>
      <c r="G305" s="19" t="s">
        <v>417</v>
      </c>
      <c r="I305" s="19">
        <v>1</v>
      </c>
    </row>
    <row r="306" spans="1:9" x14ac:dyDescent="0.55000000000000004">
      <c r="A306" s="19" t="str">
        <f>Table3[[#This Row],[Name]]</f>
        <v>D62 (9) pET.r P2</v>
      </c>
      <c r="C306" s="19" t="str">
        <f>Table3[[#This Row],[Sequence]]</f>
        <v>caCGTCTCactctCCGTcccgtagaaaagatcaaagg</v>
      </c>
      <c r="E306" s="19">
        <v>2.5000000000000001E-2</v>
      </c>
      <c r="F306" s="19" t="s">
        <v>418</v>
      </c>
      <c r="G306" s="19" t="s">
        <v>417</v>
      </c>
      <c r="I306" s="19">
        <v>1</v>
      </c>
    </row>
    <row r="307" spans="1:9" x14ac:dyDescent="0.55000000000000004">
      <c r="A307" s="19" t="str">
        <f>Table3[[#This Row],[Name]]</f>
        <v>D63 (4) mScarlet P2</v>
      </c>
      <c r="C307" s="19" t="str">
        <f>Table3[[#This Row],[Sequence]]</f>
        <v>caCGTCTCagcgaccgccatctttcag</v>
      </c>
      <c r="E307" s="19">
        <v>2.5000000000000001E-2</v>
      </c>
      <c r="F307" s="19" t="s">
        <v>418</v>
      </c>
      <c r="G307" s="19" t="s">
        <v>417</v>
      </c>
      <c r="I307" s="19">
        <v>1</v>
      </c>
    </row>
    <row r="308" spans="1:9" x14ac:dyDescent="0.55000000000000004">
      <c r="A308" s="19" t="str">
        <f>Table3[[#This Row],[Name]]</f>
        <v>D64 (4) mScarlet P3</v>
      </c>
      <c r="C308" s="19" t="str">
        <f>Table3[[#This Row],[Sequence]]</f>
        <v>gtCGTCTCaTcgctatctggctgacttc</v>
      </c>
      <c r="E308" s="19">
        <v>2.5000000000000001E-2</v>
      </c>
      <c r="F308" s="19" t="s">
        <v>418</v>
      </c>
      <c r="G308" s="19" t="s">
        <v>417</v>
      </c>
      <c r="I308" s="19">
        <v>1</v>
      </c>
    </row>
    <row r="309" spans="1:9" x14ac:dyDescent="0.55000000000000004">
      <c r="A309" s="19" t="str">
        <f>Table3[[#This Row],[Name]]</f>
        <v>D65 (4) mCherry2 P2</v>
      </c>
      <c r="C309" s="19" t="str">
        <f>Table3[[#This Row],[Sequence]]</f>
        <v>caCGTCTCcctgaagggaggagtcct</v>
      </c>
      <c r="E309" s="19">
        <v>2.5000000000000001E-2</v>
      </c>
      <c r="F309" s="19" t="s">
        <v>418</v>
      </c>
      <c r="G309" s="19" t="s">
        <v>417</v>
      </c>
      <c r="I309" s="19">
        <v>1</v>
      </c>
    </row>
    <row r="310" spans="1:9" x14ac:dyDescent="0.55000000000000004">
      <c r="A310" s="19" t="str">
        <f>Table3[[#This Row],[Name]]</f>
        <v>D66 (4) mCherry2 P3</v>
      </c>
      <c r="C310" s="19" t="str">
        <f>Table3[[#This Row],[Sequence]]</f>
        <v>gtCGTCTCaTcaggatggcgagttcatc</v>
      </c>
      <c r="E310" s="19">
        <v>2.5000000000000001E-2</v>
      </c>
      <c r="F310" s="19" t="s">
        <v>418</v>
      </c>
      <c r="G310" s="19" t="s">
        <v>417</v>
      </c>
      <c r="I310" s="19">
        <v>1</v>
      </c>
    </row>
    <row r="311" spans="1:9" x14ac:dyDescent="0.55000000000000004">
      <c r="A311" s="19" t="str">
        <f>Table3[[#This Row],[Name]]</f>
        <v>D67 (2) PL-lacO1b P2</v>
      </c>
      <c r="C311" s="19" t="str">
        <f>Table3[[#This Row],[Sequence]]</f>
        <v>tacctttctcctctttaatgaattCGTCTCactctGTCGtgtgtgaaattgttatccgc</v>
      </c>
      <c r="E311" s="19">
        <v>2.5000000000000001E-2</v>
      </c>
      <c r="F311" s="19" t="s">
        <v>418</v>
      </c>
      <c r="G311" s="19" t="s">
        <v>417</v>
      </c>
      <c r="I311" s="19">
        <v>1</v>
      </c>
    </row>
    <row r="312" spans="1:9" x14ac:dyDescent="0.55000000000000004">
      <c r="A312" s="19" t="str">
        <f>Table3[[#This Row],[Name]]</f>
        <v>D68 (9) pBAC P1</v>
      </c>
      <c r="C312" s="19" t="str">
        <f>Table3[[#This Row],[Sequence]]</f>
        <v>gtCGTCTCactcgCCAActtccattgttcattccac</v>
      </c>
      <c r="E312" s="19">
        <v>2.5000000000000001E-2</v>
      </c>
      <c r="F312" s="19" t="s">
        <v>418</v>
      </c>
      <c r="G312" s="19" t="s">
        <v>417</v>
      </c>
      <c r="I312" s="19">
        <v>1</v>
      </c>
    </row>
    <row r="313" spans="1:9" x14ac:dyDescent="0.55000000000000004">
      <c r="A313" s="19" t="str">
        <f>Table3[[#This Row],[Name]]</f>
        <v>D69 (9) pBAC P2</v>
      </c>
      <c r="C313" s="19" t="str">
        <f>Table3[[#This Row],[Sequence]]</f>
        <v>caCGTCTCatccaggtctgtgttaatgagatc</v>
      </c>
      <c r="E313" s="19">
        <v>2.5000000000000001E-2</v>
      </c>
      <c r="F313" s="19" t="s">
        <v>418</v>
      </c>
      <c r="G313" s="19" t="s">
        <v>417</v>
      </c>
      <c r="I313" s="19">
        <v>1</v>
      </c>
    </row>
    <row r="314" spans="1:9" x14ac:dyDescent="0.55000000000000004">
      <c r="A314" s="19" t="str">
        <f>Table3[[#This Row],[Name]]</f>
        <v>D70 (9) pBAC P3</v>
      </c>
      <c r="C314" s="19" t="str">
        <f>Table3[[#This Row],[Sequence]]</f>
        <v>gtCGTCTCatgGaggaagcggcggcgga</v>
      </c>
      <c r="E314" s="19">
        <v>2.5000000000000001E-2</v>
      </c>
      <c r="F314" s="19" t="s">
        <v>418</v>
      </c>
      <c r="G314" s="19" t="s">
        <v>417</v>
      </c>
      <c r="I314" s="19">
        <v>1</v>
      </c>
    </row>
    <row r="315" spans="1:9" x14ac:dyDescent="0.55000000000000004">
      <c r="A315" s="19" t="str">
        <f>Table3[[#This Row],[Name]]</f>
        <v>D71 (9) pBAC P4</v>
      </c>
      <c r="C315" s="19" t="str">
        <f>Table3[[#This Row],[Sequence]]</f>
        <v>caCGTCTCatcgtTtctctgaaaatcgactgg</v>
      </c>
      <c r="E315" s="19">
        <v>2.5000000000000001E-2</v>
      </c>
      <c r="F315" s="19" t="s">
        <v>418</v>
      </c>
      <c r="G315" s="19" t="s">
        <v>417</v>
      </c>
      <c r="I315" s="19">
        <v>1</v>
      </c>
    </row>
    <row r="316" spans="1:9" x14ac:dyDescent="0.55000000000000004">
      <c r="A316" s="19" t="str">
        <f>Table3[[#This Row],[Name]]</f>
        <v>D72 (9) pBAC P5</v>
      </c>
      <c r="C316" s="19" t="str">
        <f>Table3[[#This Row],[Sequence]]</f>
        <v>gtCGTCTCgacgatgcctgagccatc</v>
      </c>
      <c r="E316" s="19">
        <v>2.5000000000000001E-2</v>
      </c>
      <c r="F316" s="19" t="s">
        <v>418</v>
      </c>
      <c r="G316" s="19" t="s">
        <v>417</v>
      </c>
      <c r="I316" s="19">
        <v>1</v>
      </c>
    </row>
    <row r="317" spans="1:9" x14ac:dyDescent="0.55000000000000004">
      <c r="A317" s="19" t="str">
        <f>Table3[[#This Row],[Name]]</f>
        <v>D73 (9) pBAC P6</v>
      </c>
      <c r="C317" s="19" t="str">
        <f>Table3[[#This Row],[Sequence]]</f>
        <v>caCGTCTCactctCCGTcgaggaagcaccagggaa</v>
      </c>
      <c r="E317" s="19">
        <v>2.5000000000000001E-2</v>
      </c>
      <c r="F317" s="19" t="s">
        <v>418</v>
      </c>
      <c r="G317" s="19" t="s">
        <v>417</v>
      </c>
      <c r="I317" s="19">
        <v>1</v>
      </c>
    </row>
    <row r="318" spans="1:9" x14ac:dyDescent="0.55000000000000004">
      <c r="A318" s="19" t="str">
        <f>Table3[[#This Row],[Name]]</f>
        <v>D74 (9) pBAC-oriV P6</v>
      </c>
      <c r="C318" s="19" t="str">
        <f>Table3[[#This Row],[Sequence]]</f>
        <v>caCGTCTCactctCCGTtgctggttgccctcgccgc</v>
      </c>
      <c r="E318" s="19">
        <v>2.5000000000000001E-2</v>
      </c>
      <c r="F318" s="19" t="s">
        <v>418</v>
      </c>
      <c r="G318" s="19" t="s">
        <v>417</v>
      </c>
      <c r="I318" s="19">
        <v>1</v>
      </c>
    </row>
    <row r="319" spans="1:9" x14ac:dyDescent="0.55000000000000004">
      <c r="A319" s="19" t="str">
        <f>Table3[[#This Row],[Name]]</f>
        <v>D75 (9) RK2 non-ts P2</v>
      </c>
      <c r="C319" s="19" t="str">
        <f>Table3[[#This Row],[Sequence]]</f>
        <v>caCGTCTCcgaggaaatcgtcgtgctgtttgctg</v>
      </c>
      <c r="E319" s="19">
        <v>2.5000000000000001E-2</v>
      </c>
      <c r="F319" s="19" t="s">
        <v>418</v>
      </c>
      <c r="G319" s="19" t="s">
        <v>417</v>
      </c>
      <c r="I319" s="19">
        <v>1</v>
      </c>
    </row>
    <row r="320" spans="1:9" x14ac:dyDescent="0.55000000000000004">
      <c r="A320" s="19" t="str">
        <f>Table3[[#This Row],[Name]]</f>
        <v>D76 (9) RK2 non-ts P3</v>
      </c>
      <c r="C320" s="19" t="str">
        <f>Table3[[#This Row],[Sequence]]</f>
        <v>gtCGTCTCtcctcgtcgatcaggacctggcaac</v>
      </c>
      <c r="E320" s="19">
        <v>2.5000000000000001E-2</v>
      </c>
      <c r="F320" s="19" t="s">
        <v>418</v>
      </c>
      <c r="G320" s="19" t="s">
        <v>417</v>
      </c>
      <c r="I320" s="19">
        <v>1</v>
      </c>
    </row>
    <row r="321" spans="1:9" x14ac:dyDescent="0.55000000000000004">
      <c r="A321" s="19" t="str">
        <f>Table3[[#This Row],[Name]]</f>
        <v>D77 (9) mini-F-P1 P1</v>
      </c>
      <c r="C321" s="19" t="str">
        <f>Table3[[#This Row],[Sequence]]</f>
        <v>gtCGTCTCactcgCCAAtccggcaaaaaaacgggc</v>
      </c>
      <c r="E321" s="19">
        <v>2.5000000000000001E-2</v>
      </c>
      <c r="F321" s="19" t="s">
        <v>418</v>
      </c>
      <c r="G321" s="19" t="s">
        <v>417</v>
      </c>
      <c r="I321" s="19">
        <v>1</v>
      </c>
    </row>
    <row r="322" spans="1:9" x14ac:dyDescent="0.55000000000000004">
      <c r="A322" s="19" t="str">
        <f>Table3[[#This Row],[Name]]</f>
        <v>D78 (9) mini-F-P1 P2</v>
      </c>
      <c r="C322" s="19" t="str">
        <f>Table3[[#This Row],[Sequence]]</f>
        <v>caCGTCTCactctCCGTtaactccacttattgttaggtagaattg</v>
      </c>
      <c r="E322" s="19">
        <v>2.5000000000000001E-2</v>
      </c>
      <c r="F322" s="19" t="s">
        <v>418</v>
      </c>
      <c r="G322" s="19" t="s">
        <v>417</v>
      </c>
      <c r="I322" s="19">
        <v>1</v>
      </c>
    </row>
    <row r="323" spans="1:9" x14ac:dyDescent="0.55000000000000004">
      <c r="A323" s="19" t="str">
        <f>Table3[[#This Row],[Name]]</f>
        <v>D79 RSF1010 P3</v>
      </c>
      <c r="C323" s="19" t="str">
        <f>Table3[[#This Row],[Sequence]]</f>
        <v>gtCGTCTCagactacatccagcgcgaagg</v>
      </c>
      <c r="E323" s="19">
        <v>2.5000000000000001E-2</v>
      </c>
      <c r="F323" s="19" t="s">
        <v>418</v>
      </c>
      <c r="G323" s="19" t="s">
        <v>417</v>
      </c>
      <c r="I323" s="19">
        <v>1</v>
      </c>
    </row>
    <row r="324" spans="1:9" x14ac:dyDescent="0.55000000000000004">
      <c r="A324" s="19" t="str">
        <f>Table3[[#This Row],[Name]]</f>
        <v>D80 pWV01ts P2</v>
      </c>
      <c r="C324" s="19" t="str">
        <f>Table3[[#This Row],[Sequence]]</f>
        <v>caCGTCTCgtagtAatAttatacAaaatggaaagcac</v>
      </c>
      <c r="E324" s="19">
        <v>2.5000000000000001E-2</v>
      </c>
      <c r="F324" s="19" t="s">
        <v>418</v>
      </c>
      <c r="G324" s="19" t="s">
        <v>417</v>
      </c>
      <c r="I324" s="19">
        <v>1</v>
      </c>
    </row>
    <row r="325" spans="1:9" x14ac:dyDescent="0.55000000000000004">
      <c r="A325" s="19" t="str">
        <f>Table3[[#This Row],[Name]]</f>
        <v>D81 pWV01ts P3</v>
      </c>
      <c r="C325" s="19" t="str">
        <f>Table3[[#This Row],[Sequence]]</f>
        <v>gtCGTCTCgactaTtattccatgtatctttatc</v>
      </c>
      <c r="E325" s="19">
        <v>2.5000000000000001E-2</v>
      </c>
      <c r="F325" s="19" t="s">
        <v>418</v>
      </c>
      <c r="G325" s="19" t="s">
        <v>417</v>
      </c>
      <c r="I325" s="19">
        <v>1</v>
      </c>
    </row>
    <row r="326" spans="1:9" x14ac:dyDescent="0.55000000000000004">
      <c r="A326" s="19" t="str">
        <f>Table3[[#This Row],[Name]]</f>
        <v>E01 RSF1010 seq P1</v>
      </c>
      <c r="C326" s="19" t="str">
        <f>Table3[[#This Row],[Sequence]]</f>
        <v>ccttacggcgaaaaccgg</v>
      </c>
      <c r="E326" s="19">
        <v>2.5000000000000001E-2</v>
      </c>
      <c r="F326" s="19" t="s">
        <v>418</v>
      </c>
      <c r="G326" s="19" t="s">
        <v>417</v>
      </c>
      <c r="I326" s="19">
        <v>1</v>
      </c>
    </row>
    <row r="327" spans="1:9" x14ac:dyDescent="0.55000000000000004">
      <c r="A327" s="19" t="str">
        <f>Table3[[#This Row],[Name]]</f>
        <v>E02 RSF1010 seq P2</v>
      </c>
      <c r="C327" s="19" t="str">
        <f>Table3[[#This Row],[Sequence]]</f>
        <v>aataccgggaggcaatag</v>
      </c>
      <c r="E327" s="19">
        <v>2.5000000000000001E-2</v>
      </c>
      <c r="F327" s="19" t="s">
        <v>418</v>
      </c>
      <c r="G327" s="19" t="s">
        <v>417</v>
      </c>
      <c r="I327" s="19">
        <v>1</v>
      </c>
    </row>
    <row r="328" spans="1:9" x14ac:dyDescent="0.55000000000000004">
      <c r="A328" s="19" t="str">
        <f>Table3[[#This Row],[Name]]</f>
        <v>E03 RSF1010 seq P3</v>
      </c>
      <c r="C328" s="19" t="str">
        <f>Table3[[#This Row],[Sequence]]</f>
        <v>gtagtggaaaccagcccg</v>
      </c>
      <c r="E328" s="19">
        <v>2.5000000000000001E-2</v>
      </c>
      <c r="F328" s="19" t="s">
        <v>418</v>
      </c>
      <c r="G328" s="19" t="s">
        <v>417</v>
      </c>
      <c r="I328" s="19">
        <v>1</v>
      </c>
    </row>
    <row r="329" spans="1:9" x14ac:dyDescent="0.55000000000000004">
      <c r="A329" s="19" t="str">
        <f>Table3[[#This Row],[Name]]</f>
        <v>E04 RSF1010 seq P4</v>
      </c>
      <c r="C329" s="19" t="str">
        <f>Table3[[#This Row],[Sequence]]</f>
        <v>agtactcacgcacagaag</v>
      </c>
      <c r="E329" s="19">
        <v>2.5000000000000001E-2</v>
      </c>
      <c r="F329" s="19" t="s">
        <v>418</v>
      </c>
      <c r="G329" s="19" t="s">
        <v>417</v>
      </c>
      <c r="I329" s="19">
        <v>1</v>
      </c>
    </row>
    <row r="330" spans="1:9" x14ac:dyDescent="0.55000000000000004">
      <c r="A330" s="19" t="str">
        <f>Table3[[#This Row],[Name]]</f>
        <v>E05 RSF1010 seq P5</v>
      </c>
      <c r="C330" s="19" t="str">
        <f>Table3[[#This Row],[Sequence]]</f>
        <v>caccgccattcatcaccg</v>
      </c>
      <c r="E330" s="19">
        <v>2.5000000000000001E-2</v>
      </c>
      <c r="F330" s="19" t="s">
        <v>418</v>
      </c>
      <c r="G330" s="19" t="s">
        <v>417</v>
      </c>
      <c r="I330" s="19">
        <v>1</v>
      </c>
    </row>
    <row r="331" spans="1:9" x14ac:dyDescent="0.55000000000000004">
      <c r="A331" s="19" t="str">
        <f>Table3[[#This Row],[Name]]</f>
        <v>E06 RK2 seq P1</v>
      </c>
      <c r="C331" s="19" t="str">
        <f>Table3[[#This Row],[Sequence]]</f>
        <v>atcgacattcagcgaccag</v>
      </c>
      <c r="E331" s="19">
        <v>2.5000000000000001E-2</v>
      </c>
      <c r="F331" s="19" t="s">
        <v>418</v>
      </c>
      <c r="G331" s="19" t="s">
        <v>417</v>
      </c>
      <c r="I331" s="19">
        <v>1</v>
      </c>
    </row>
    <row r="332" spans="1:9" x14ac:dyDescent="0.55000000000000004">
      <c r="A332" s="19" t="str">
        <f>Table3[[#This Row],[Name]]</f>
        <v>E07 BAC seq P1</v>
      </c>
      <c r="C332" s="19" t="str">
        <f>Table3[[#This Row],[Sequence]]</f>
        <v>tcacgacatcagtttgctcc</v>
      </c>
      <c r="E332" s="19">
        <v>2.5000000000000001E-2</v>
      </c>
      <c r="F332" s="19" t="s">
        <v>418</v>
      </c>
      <c r="G332" s="19" t="s">
        <v>417</v>
      </c>
      <c r="I332" s="19">
        <v>1</v>
      </c>
    </row>
    <row r="333" spans="1:9" x14ac:dyDescent="0.55000000000000004">
      <c r="A333" s="19" t="str">
        <f>Table3[[#This Row],[Name]]</f>
        <v>E08 BAC seq P2</v>
      </c>
      <c r="C333" s="19" t="str">
        <f>Table3[[#This Row],[Sequence]]</f>
        <v>taattgcgcgcgtaggag</v>
      </c>
      <c r="E333" s="19">
        <v>2.5000000000000001E-2</v>
      </c>
      <c r="F333" s="19" t="s">
        <v>418</v>
      </c>
      <c r="G333" s="19" t="s">
        <v>417</v>
      </c>
      <c r="I333" s="19">
        <v>1</v>
      </c>
    </row>
    <row r="334" spans="1:9" x14ac:dyDescent="0.55000000000000004">
      <c r="A334" s="19" t="str">
        <f>Table3[[#This Row],[Name]]</f>
        <v>E09 BAC seq P3</v>
      </c>
      <c r="C334" s="19" t="str">
        <f>Table3[[#This Row],[Sequence]]</f>
        <v>aaaggacgatgtcacttatgc</v>
      </c>
      <c r="E334" s="19">
        <v>2.5000000000000001E-2</v>
      </c>
      <c r="F334" s="19" t="s">
        <v>418</v>
      </c>
      <c r="G334" s="19" t="s">
        <v>417</v>
      </c>
      <c r="I334" s="19">
        <v>1</v>
      </c>
    </row>
    <row r="335" spans="1:9" x14ac:dyDescent="0.55000000000000004">
      <c r="A335" s="19" t="str">
        <f>Table3[[#This Row],[Name]]</f>
        <v>E10 BAC seq P4</v>
      </c>
      <c r="C335" s="19" t="str">
        <f>Table3[[#This Row],[Sequence]]</f>
        <v>tgctcggttacacggctg</v>
      </c>
      <c r="E335" s="19">
        <v>2.5000000000000001E-2</v>
      </c>
      <c r="F335" s="19" t="s">
        <v>418</v>
      </c>
      <c r="G335" s="19" t="s">
        <v>417</v>
      </c>
      <c r="I335" s="19">
        <v>1</v>
      </c>
    </row>
    <row r="336" spans="1:9" x14ac:dyDescent="0.55000000000000004">
      <c r="A336" s="19" t="str">
        <f>Table3[[#This Row],[Name]]</f>
        <v>E11 T7.1 seq P1</v>
      </c>
      <c r="C336" s="19" t="str">
        <f>Table3[[#This Row],[Sequence]]</f>
        <v>TAACTGACGCTCGAACATC</v>
      </c>
      <c r="E336" s="19">
        <v>2.5000000000000001E-2</v>
      </c>
      <c r="F336" s="19" t="s">
        <v>418</v>
      </c>
      <c r="G336" s="19" t="s">
        <v>417</v>
      </c>
      <c r="I336" s="19">
        <v>1</v>
      </c>
    </row>
    <row r="337" spans="1:19" x14ac:dyDescent="0.55000000000000004">
      <c r="A337" s="19" t="str">
        <f>Table3[[#This Row],[Name]]</f>
        <v>E12 T7.1 seq P2</v>
      </c>
      <c r="C337" s="19" t="str">
        <f>Table3[[#This Row],[Sequence]]</f>
        <v>CAGTTAGCATTAGAACATGAATC</v>
      </c>
      <c r="E337" s="19">
        <v>2.5000000000000001E-2</v>
      </c>
      <c r="F337" s="19" t="s">
        <v>418</v>
      </c>
      <c r="G337" s="19" t="s">
        <v>417</v>
      </c>
      <c r="I337" s="19">
        <v>1</v>
      </c>
    </row>
    <row r="338" spans="1:19" x14ac:dyDescent="0.55000000000000004">
      <c r="A338" s="19" t="str">
        <f>Table3[[#This Row],[Name]]</f>
        <v>E13 T7.1 seq P3</v>
      </c>
      <c r="C338" s="19" t="str">
        <f>Table3[[#This Row],[Sequence]]</f>
        <v>TTTAGCATTAGTTCGTACACATTC</v>
      </c>
      <c r="E338" s="19">
        <v>2.5000000000000001E-2</v>
      </c>
      <c r="F338" s="19" t="s">
        <v>418</v>
      </c>
      <c r="G338" s="19" t="s">
        <v>417</v>
      </c>
      <c r="I338" s="19">
        <v>1</v>
      </c>
    </row>
    <row r="339" spans="1:19" x14ac:dyDescent="0.55000000000000004">
      <c r="A339" s="19" t="str">
        <f>Table3[[#This Row],[Name]]</f>
        <v>E14 T7.1 seq P4</v>
      </c>
      <c r="C339" s="19" t="str">
        <f>Table3[[#This Row],[Sequence]]</f>
        <v>ATGAAGTTGGTGGTCGTGC</v>
      </c>
      <c r="E339" s="19">
        <v>2.5000000000000001E-2</v>
      </c>
      <c r="F339" s="19" t="s">
        <v>418</v>
      </c>
      <c r="G339" s="19" t="s">
        <v>417</v>
      </c>
      <c r="I339" s="19">
        <v>1</v>
      </c>
    </row>
    <row r="340" spans="1:19" x14ac:dyDescent="0.55000000000000004">
      <c r="A340" s="19" t="str">
        <f>Table3[[#This Row],[Name]]</f>
        <v>E15 (5) tT7 tZ P1</v>
      </c>
      <c r="C340" s="19" t="str">
        <f>Table3[[#This Row],[Sequence]]</f>
        <v>GTCGTCTCACTCGTGGCCCTAGCATAACCCCGCGGGGGCTCTTCGGGGCTCTCG</v>
      </c>
      <c r="E340" s="19">
        <v>2.5000000000000001E-2</v>
      </c>
      <c r="F340" s="19" t="s">
        <v>418</v>
      </c>
      <c r="G340" s="19" t="s">
        <v>417</v>
      </c>
      <c r="I340" s="19">
        <v>1</v>
      </c>
      <c r="K340" s="2"/>
      <c r="L340" s="2"/>
      <c r="M340" s="2"/>
      <c r="N340" s="2"/>
      <c r="O340" s="2"/>
      <c r="P340" s="2"/>
      <c r="Q340" s="2"/>
      <c r="R340" s="2"/>
      <c r="S340" s="2"/>
    </row>
    <row r="341" spans="1:19" x14ac:dyDescent="0.55000000000000004">
      <c r="A341" s="19" t="str">
        <f>Table3[[#This Row],[Name]]</f>
        <v>E16 (5) tT7 tZ P2</v>
      </c>
      <c r="C341" s="19" t="str">
        <f>Table3[[#This Row],[Sequence]]</f>
        <v>CGACTGAGCCTTTCGTTTTATTTGATCTTTCAGCAAAAAACCCCGCGAGAGCCCCGAAGA</v>
      </c>
      <c r="E341" s="19">
        <v>2.5000000000000001E-2</v>
      </c>
      <c r="F341" s="19" t="s">
        <v>418</v>
      </c>
      <c r="G341" s="19" t="s">
        <v>417</v>
      </c>
      <c r="I341" s="19">
        <v>1</v>
      </c>
      <c r="K341" s="2"/>
      <c r="L341" s="2"/>
      <c r="M341" s="2"/>
      <c r="N341" s="2"/>
      <c r="O341" s="2"/>
      <c r="P341" s="2"/>
      <c r="Q341" s="2"/>
      <c r="R341" s="2"/>
      <c r="S341" s="2"/>
    </row>
    <row r="342" spans="1:19" x14ac:dyDescent="0.55000000000000004">
      <c r="A342" s="19" t="str">
        <f>Table3[[#This Row],[Name]]</f>
        <v>E17 (5) tT7 tZ P3</v>
      </c>
      <c r="C342" s="19" t="str">
        <f>Table3[[#This Row],[Sequence]]</f>
        <v>AACGAAAGGCTCAGTCGAAAGACTGGGCCTTTCGTTTTATCTGTTGTTTGTCGCTGCG</v>
      </c>
      <c r="E342" s="19">
        <v>2.5000000000000001E-2</v>
      </c>
      <c r="F342" s="19" t="s">
        <v>418</v>
      </c>
      <c r="G342" s="19" t="s">
        <v>417</v>
      </c>
      <c r="I342" s="19">
        <v>1</v>
      </c>
      <c r="K342" s="2"/>
      <c r="L342" s="2"/>
      <c r="M342" s="2"/>
      <c r="N342" s="2"/>
      <c r="O342" s="2"/>
      <c r="P342" s="2"/>
      <c r="Q342" s="2"/>
      <c r="R342" s="2"/>
      <c r="S342" s="2"/>
    </row>
    <row r="343" spans="1:19" x14ac:dyDescent="0.55000000000000004">
      <c r="A343" s="19" t="str">
        <f>Table3[[#This Row],[Name]]</f>
        <v>E18 (5) tT7 tZ P4</v>
      </c>
      <c r="C343" s="19" t="str">
        <f>Table3[[#This Row],[Sequence]]</f>
        <v>GGCAGCAGCCAACTCAGCTTCCTTTCGGGCTTTGTTAGCAGCGCAGCGACAAACAACAG</v>
      </c>
      <c r="E343" s="19">
        <v>2.5000000000000001E-2</v>
      </c>
      <c r="F343" s="19" t="s">
        <v>418</v>
      </c>
      <c r="G343" s="19" t="s">
        <v>417</v>
      </c>
      <c r="I343" s="19">
        <v>1</v>
      </c>
      <c r="K343" s="2"/>
      <c r="L343" s="2"/>
      <c r="M343" s="2"/>
      <c r="N343" s="2"/>
      <c r="O343" s="2"/>
      <c r="P343" s="2"/>
      <c r="Q343" s="2"/>
      <c r="R343" s="2"/>
      <c r="S343" s="2"/>
    </row>
    <row r="344" spans="1:19" x14ac:dyDescent="0.55000000000000004">
      <c r="A344" s="19" t="str">
        <f>Table3[[#This Row],[Name]]</f>
        <v>E19 (5) tT7 tZ P5</v>
      </c>
      <c r="C344" s="19" t="str">
        <f>Table3[[#This Row],[Sequence]]</f>
        <v>GAGTTGGCTGCTGCCACCGCTGAGCAATAACTAGCATAACCCCTTGGGGCCTCTAAACGG</v>
      </c>
      <c r="E344" s="19">
        <v>2.5000000000000001E-2</v>
      </c>
      <c r="F344" s="19" t="s">
        <v>418</v>
      </c>
      <c r="G344" s="19" t="s">
        <v>417</v>
      </c>
      <c r="I344" s="19">
        <v>1</v>
      </c>
      <c r="K344" s="2"/>
      <c r="L344" s="2"/>
      <c r="M344" s="2"/>
      <c r="N344" s="2"/>
      <c r="O344" s="2"/>
      <c r="P344" s="2"/>
      <c r="Q344" s="2"/>
      <c r="R344" s="2"/>
      <c r="S344" s="2"/>
    </row>
    <row r="345" spans="1:19" x14ac:dyDescent="0.55000000000000004">
      <c r="A345" s="19" t="str">
        <f>Table3[[#This Row],[Name]]</f>
        <v>E20 (5) tT7 tZ P6</v>
      </c>
      <c r="C345" s="19" t="str">
        <f>Table3[[#This Row],[Sequence]]</f>
        <v>TACGTCTCACTCTGCTGCTTTCAGCAAAAAACCCCTCAAGACCCGTTTAGAGGCCCCAA</v>
      </c>
      <c r="E345" s="19">
        <v>2.5000000000000001E-2</v>
      </c>
      <c r="F345" s="19" t="s">
        <v>418</v>
      </c>
      <c r="G345" s="19" t="s">
        <v>417</v>
      </c>
      <c r="I345" s="19">
        <v>1</v>
      </c>
      <c r="K345" s="2"/>
      <c r="L345" s="2"/>
      <c r="M345" s="2"/>
      <c r="N345" s="2"/>
      <c r="O345" s="2"/>
      <c r="P345" s="2"/>
      <c r="Q345" s="2"/>
      <c r="R345" s="2"/>
      <c r="S345" s="2"/>
    </row>
    <row r="346" spans="1:19" x14ac:dyDescent="0.55000000000000004">
      <c r="A346" s="19" t="str">
        <f>Table3[[#This Row],[Name]]</f>
        <v>E21 (2) pT7 2lacOs O1</v>
      </c>
      <c r="C346" s="19" t="str">
        <f>Table3[[#This Row],[Sequence]]</f>
        <v>ctcgCTTCaattgtgagcgctcacaatttaatacgac</v>
      </c>
      <c r="E346" s="19">
        <v>2.5000000000000001E-2</v>
      </c>
      <c r="F346" s="19" t="s">
        <v>418</v>
      </c>
      <c r="G346" s="19" t="s">
        <v>417</v>
      </c>
      <c r="I346" s="19">
        <v>1</v>
      </c>
      <c r="K346" s="2"/>
      <c r="L346" s="2"/>
      <c r="M346" s="2"/>
      <c r="N346" s="2"/>
      <c r="O346" s="2"/>
      <c r="P346" s="2"/>
      <c r="Q346" s="2"/>
      <c r="R346" s="2"/>
      <c r="S346" s="2"/>
    </row>
    <row r="347" spans="1:19" x14ac:dyDescent="0.55000000000000004">
      <c r="A347" s="19" t="str">
        <f>Table3[[#This Row],[Name]]</f>
        <v>E22 (2) pT7 2lacOs O2</v>
      </c>
      <c r="C347" s="19" t="str">
        <f>Table3[[#This Row],[Sequence]]</f>
        <v>atagtgagtcgtattaaattgtgagcgctcacaattGAAG</v>
      </c>
      <c r="E347" s="19">
        <v>2.5000000000000001E-2</v>
      </c>
      <c r="F347" s="19" t="s">
        <v>418</v>
      </c>
      <c r="G347" s="19" t="s">
        <v>417</v>
      </c>
      <c r="I347" s="19">
        <v>1</v>
      </c>
      <c r="K347" s="2"/>
      <c r="L347" s="2"/>
      <c r="M347" s="2"/>
      <c r="N347" s="2"/>
      <c r="O347" s="2"/>
      <c r="P347" s="2"/>
      <c r="Q347" s="2"/>
      <c r="R347" s="2"/>
      <c r="S347" s="2"/>
    </row>
    <row r="348" spans="1:19" x14ac:dyDescent="0.55000000000000004">
      <c r="A348" s="19" t="str">
        <f>Table3[[#This Row],[Name]]</f>
        <v>E23 (2) pT7 2lacOs O3</v>
      </c>
      <c r="C348" s="19" t="str">
        <f>Table3[[#This Row],[Sequence]]</f>
        <v>tcactatagggagaaattgtgagcgctcacaattCGAC</v>
      </c>
      <c r="E348" s="19">
        <v>2.5000000000000001E-2</v>
      </c>
      <c r="F348" s="19" t="s">
        <v>418</v>
      </c>
      <c r="G348" s="19" t="s">
        <v>417</v>
      </c>
      <c r="I348" s="19">
        <v>1</v>
      </c>
      <c r="K348" s="2"/>
      <c r="L348" s="2"/>
      <c r="M348" s="2"/>
      <c r="N348" s="2"/>
      <c r="O348" s="2"/>
      <c r="P348" s="2"/>
      <c r="Q348" s="2"/>
      <c r="R348" s="2"/>
      <c r="S348" s="2"/>
    </row>
    <row r="349" spans="1:19" x14ac:dyDescent="0.55000000000000004">
      <c r="A349" s="19" t="str">
        <f>Table3[[#This Row],[Name]]</f>
        <v>E24 (2) pT7 2lacOs O4</v>
      </c>
      <c r="C349" s="19" t="str">
        <f>Table3[[#This Row],[Sequence]]</f>
        <v>ctctGTCGaattgtgagcgctcacaatttctccct</v>
      </c>
      <c r="E349" s="19">
        <v>2.5000000000000001E-2</v>
      </c>
      <c r="F349" s="19" t="s">
        <v>418</v>
      </c>
      <c r="G349" s="19" t="s">
        <v>417</v>
      </c>
      <c r="I349" s="19">
        <v>1</v>
      </c>
      <c r="K349" s="2"/>
      <c r="L349" s="2"/>
      <c r="M349" s="2"/>
      <c r="N349" s="2"/>
      <c r="O349" s="2"/>
      <c r="P349" s="2"/>
      <c r="Q349" s="2"/>
      <c r="R349" s="2"/>
      <c r="S349" s="2"/>
    </row>
    <row r="350" spans="1:19" x14ac:dyDescent="0.55000000000000004">
      <c r="A350" s="19" t="str">
        <f>Table3[[#This Row],[Name]]</f>
        <v>E25 (2) pT7 2tetO2 O1</v>
      </c>
      <c r="C350" s="19" t="str">
        <f>Table3[[#This Row],[Sequence]]</f>
        <v>ctcgCTTCtccctatcagtgatagagataatacgac</v>
      </c>
      <c r="E350" s="19">
        <v>2.5000000000000001E-2</v>
      </c>
      <c r="F350" s="19" t="s">
        <v>418</v>
      </c>
      <c r="G350" s="19" t="s">
        <v>417</v>
      </c>
      <c r="I350" s="19">
        <v>1</v>
      </c>
      <c r="K350" s="2"/>
      <c r="L350" s="2"/>
      <c r="M350" s="2"/>
      <c r="N350" s="2"/>
      <c r="O350" s="2"/>
      <c r="P350" s="2"/>
      <c r="Q350" s="2"/>
      <c r="R350" s="2"/>
      <c r="S350" s="2"/>
    </row>
    <row r="351" spans="1:19" x14ac:dyDescent="0.55000000000000004">
      <c r="A351" s="19" t="str">
        <f>Table3[[#This Row],[Name]]</f>
        <v>E26 (2) pT7 2tetO2 O2</v>
      </c>
      <c r="C351" s="19" t="str">
        <f>Table3[[#This Row],[Sequence]]</f>
        <v>ctatagtgagtcgtattatctctatcactgatagggaGAAG</v>
      </c>
      <c r="E351" s="19">
        <v>2.5000000000000001E-2</v>
      </c>
      <c r="F351" s="19" t="s">
        <v>418</v>
      </c>
      <c r="G351" s="19" t="s">
        <v>417</v>
      </c>
      <c r="I351" s="19">
        <v>1</v>
      </c>
      <c r="K351" s="2"/>
      <c r="L351" s="2"/>
      <c r="M351" s="2"/>
      <c r="N351" s="2"/>
      <c r="O351" s="2"/>
      <c r="P351" s="2"/>
      <c r="Q351" s="2"/>
      <c r="R351" s="2"/>
      <c r="S351" s="2"/>
    </row>
    <row r="352" spans="1:19" x14ac:dyDescent="0.55000000000000004">
      <c r="A352" s="19" t="str">
        <f>Table3[[#This Row],[Name]]</f>
        <v>E27 (2) pT7 2tetO2 O3</v>
      </c>
      <c r="C352" s="19" t="str">
        <f>Table3[[#This Row],[Sequence]]</f>
        <v>tcactatagggagatccctatcagtgatagagaaCGAC</v>
      </c>
      <c r="E352" s="19">
        <v>2.5000000000000001E-2</v>
      </c>
      <c r="F352" s="19" t="s">
        <v>418</v>
      </c>
      <c r="G352" s="19" t="s">
        <v>417</v>
      </c>
      <c r="I352" s="19">
        <v>1</v>
      </c>
      <c r="K352" s="2"/>
      <c r="L352" s="2"/>
      <c r="M352" s="2"/>
      <c r="N352" s="2"/>
      <c r="O352" s="2"/>
      <c r="P352" s="2"/>
      <c r="Q352" s="2"/>
      <c r="R352" s="2"/>
      <c r="S352" s="2"/>
    </row>
    <row r="353" spans="1:19" x14ac:dyDescent="0.55000000000000004">
      <c r="A353" s="19" t="str">
        <f>Table3[[#This Row],[Name]]</f>
        <v>E28 (2) pT7 2tetO2 O4</v>
      </c>
      <c r="C353" s="19" t="str">
        <f>Table3[[#This Row],[Sequence]]</f>
        <v>ctctGTCGttctctatcactgatagggatctcc</v>
      </c>
      <c r="E353" s="19">
        <v>2.5000000000000001E-2</v>
      </c>
      <c r="F353" s="19" t="s">
        <v>418</v>
      </c>
      <c r="G353" s="19" t="s">
        <v>417</v>
      </c>
      <c r="I353" s="19">
        <v>1</v>
      </c>
      <c r="K353" s="2"/>
      <c r="L353" s="2"/>
      <c r="M353" s="2"/>
      <c r="N353" s="2"/>
      <c r="O353" s="2"/>
      <c r="P353" s="2"/>
      <c r="Q353" s="2"/>
      <c r="R353" s="2"/>
      <c r="S353" s="2"/>
    </row>
    <row r="354" spans="1:19" x14ac:dyDescent="0.55000000000000004">
      <c r="A354" s="19" t="str">
        <f>Table3[[#This Row],[Name]]</f>
        <v>E29 (2) pT7 O1</v>
      </c>
      <c r="C354" s="19" t="str">
        <f>Table3[[#This Row],[Sequence]]</f>
        <v>ctcgCTTCtaatacgactcactatagggagagCGAC</v>
      </c>
      <c r="E354" s="19">
        <v>2.5000000000000001E-2</v>
      </c>
      <c r="F354" s="19" t="s">
        <v>418</v>
      </c>
      <c r="G354" s="19" t="s">
        <v>417</v>
      </c>
      <c r="I354" s="19">
        <v>1</v>
      </c>
      <c r="K354" s="2"/>
      <c r="L354" s="2"/>
      <c r="M354" s="2"/>
      <c r="N354" s="2"/>
      <c r="O354" s="2"/>
      <c r="P354" s="2"/>
      <c r="Q354" s="2"/>
      <c r="R354" s="2"/>
      <c r="S354" s="2"/>
    </row>
    <row r="355" spans="1:19" x14ac:dyDescent="0.55000000000000004">
      <c r="A355" s="19" t="str">
        <f>Table3[[#This Row],[Name]]</f>
        <v>E30 (2) pT7 O2</v>
      </c>
      <c r="C355" s="19" t="str">
        <f>Table3[[#This Row],[Sequence]]</f>
        <v>ctctGTCGctctccctatagtgagtcgtattaGAAG</v>
      </c>
      <c r="E355" s="19">
        <v>2.5000000000000001E-2</v>
      </c>
      <c r="F355" s="19" t="s">
        <v>418</v>
      </c>
      <c r="G355" s="19" t="s">
        <v>417</v>
      </c>
      <c r="I355" s="19">
        <v>1</v>
      </c>
      <c r="K355" s="2"/>
      <c r="L355" s="2"/>
      <c r="M355" s="2"/>
      <c r="N355" s="2"/>
      <c r="O355" s="2"/>
      <c r="P355" s="2"/>
      <c r="Q355" s="2"/>
      <c r="R355" s="2"/>
      <c r="S355" s="2"/>
    </row>
    <row r="356" spans="1:19" x14ac:dyDescent="0.55000000000000004">
      <c r="A356" s="19" t="str">
        <f>Table3[[#This Row],[Name]]</f>
        <v>E31 (5) tT7 T.7 O1</v>
      </c>
      <c r="C356" s="19" t="str">
        <f>Table3[[#This Row],[Sequence]]</f>
        <v>ctcgTGGCtactcgaacccctagcccgctcttatcgggcggctaggggttttttgtGCTG</v>
      </c>
      <c r="E356" s="19">
        <v>2.5000000000000001E-2</v>
      </c>
      <c r="F356" s="19" t="s">
        <v>418</v>
      </c>
      <c r="G356" s="19" t="s">
        <v>417</v>
      </c>
      <c r="I356" s="19">
        <v>1</v>
      </c>
    </row>
    <row r="357" spans="1:19" x14ac:dyDescent="0.55000000000000004">
      <c r="A357" s="19" t="str">
        <f>Table3[[#This Row],[Name]]</f>
        <v>E32 (5) tT7 T.7 O2</v>
      </c>
      <c r="C357" s="19" t="str">
        <f>Table3[[#This Row],[Sequence]]</f>
        <v>ctctCAGCacaaaaaacccctagccgcccgataagagcgggctaggggttcgagtaGCCA</v>
      </c>
      <c r="E357" s="19">
        <v>2.5000000000000001E-2</v>
      </c>
      <c r="F357" s="19" t="s">
        <v>418</v>
      </c>
      <c r="G357" s="19" t="s">
        <v>417</v>
      </c>
      <c r="I357" s="19">
        <v>1</v>
      </c>
    </row>
    <row r="358" spans="1:19" x14ac:dyDescent="0.55000000000000004">
      <c r="A358" s="19" t="str">
        <f>Table3[[#This Row],[Name]]</f>
        <v>E33 RSF1010 seq P6</v>
      </c>
      <c r="C358" s="19" t="str">
        <f>Table3[[#This Row],[Sequence]]</f>
        <v>agcaacagcgaggcagc</v>
      </c>
      <c r="E358" s="19">
        <v>2.5000000000000001E-2</v>
      </c>
      <c r="F358" s="19" t="s">
        <v>418</v>
      </c>
      <c r="G358" s="19" t="s">
        <v>417</v>
      </c>
      <c r="I358" s="19">
        <v>1</v>
      </c>
    </row>
    <row r="359" spans="1:19" x14ac:dyDescent="0.55000000000000004">
      <c r="A359" s="19" t="str">
        <f>Table3[[#This Row],[Name]]</f>
        <v>E34 RK2 seq P2</v>
      </c>
      <c r="C359" s="19" t="str">
        <f>Table3[[#This Row],[Sequence]]</f>
        <v>ggctttctacgtgttccg</v>
      </c>
      <c r="E359" s="19">
        <v>2.5000000000000001E-2</v>
      </c>
      <c r="F359" s="19" t="s">
        <v>418</v>
      </c>
      <c r="G359" s="19" t="s">
        <v>417</v>
      </c>
      <c r="I359" s="19">
        <v>1</v>
      </c>
    </row>
    <row r="360" spans="1:19" x14ac:dyDescent="0.55000000000000004">
      <c r="A360" s="277" t="str">
        <f>Table3[[#This Row],[Name]]</f>
        <v>E35 (1-8*) mKate2-KanRII</v>
      </c>
      <c r="C360" s="19" t="str">
        <f>Table3[[#This Row],[Sequence]]</f>
        <v>gtGGTCTCaACGGaaaaaaaaaccccgcccctg</v>
      </c>
      <c r="E360" s="19">
        <v>2.5000000000000001E-2</v>
      </c>
      <c r="F360" s="19" t="s">
        <v>418</v>
      </c>
      <c r="G360" s="19" t="s">
        <v>417</v>
      </c>
      <c r="I360" s="19">
        <v>1</v>
      </c>
    </row>
    <row r="361" spans="1:19" x14ac:dyDescent="0.55000000000000004">
      <c r="A361" s="277" t="str">
        <f>Table3[[#This Row],[Name]]</f>
        <v>E36 (1-8*) mKate2-KanRII</v>
      </c>
      <c r="C361" s="19" t="str">
        <f>Table3[[#This Row],[Sequence]]</f>
        <v>caGGTCTCaTTGGgtaagcagaaagtcaaaagcctcc</v>
      </c>
      <c r="E361" s="19">
        <v>2.5000000000000001E-2</v>
      </c>
      <c r="F361" s="19" t="s">
        <v>418</v>
      </c>
      <c r="G361" s="19" t="s">
        <v>417</v>
      </c>
      <c r="I361" s="19">
        <v>1</v>
      </c>
    </row>
    <row r="362" spans="1:19" x14ac:dyDescent="0.55000000000000004">
      <c r="A362" s="277" t="str">
        <f>Table3[[#This Row],[Name]]</f>
        <v>E37 pBBR1 seq P1</v>
      </c>
      <c r="C362" s="19" t="str">
        <f>Table3[[#This Row],[Sequence]]</f>
        <v>agcaactcgcgcagtcg</v>
      </c>
      <c r="E362" s="19">
        <v>2.5000000000000001E-2</v>
      </c>
      <c r="F362" s="19" t="s">
        <v>418</v>
      </c>
      <c r="G362" s="19" t="s">
        <v>417</v>
      </c>
      <c r="I362" s="19">
        <v>1</v>
      </c>
    </row>
    <row r="363" spans="1:19" x14ac:dyDescent="0.55000000000000004">
      <c r="A363" s="277" t="str">
        <f>Table3[[#This Row],[Name]]</f>
        <v>E38 (9) R6Kγ ori P1</v>
      </c>
      <c r="C363" s="19" t="str">
        <f>Table3[[#This Row],[Sequence]]</f>
        <v>gtCGTCTCactcgCCAAgcagttcaacctgttgatag</v>
      </c>
      <c r="E363" s="19">
        <v>2.5000000000000001E-2</v>
      </c>
      <c r="F363" s="19" t="s">
        <v>418</v>
      </c>
      <c r="G363" s="19" t="s">
        <v>417</v>
      </c>
      <c r="I363" s="19">
        <v>1</v>
      </c>
    </row>
    <row r="364" spans="1:19" x14ac:dyDescent="0.55000000000000004">
      <c r="A364" s="277" t="str">
        <f>Table3[[#This Row],[Name]]</f>
        <v>E39 (9) R6Kγ ori P2</v>
      </c>
      <c r="C364" s="19" t="str">
        <f>Table3[[#This Row],[Sequence]]</f>
        <v>caCGTCTCactctCCGTccatgtcagccgttaag</v>
      </c>
      <c r="E364" s="19">
        <v>2.5000000000000001E-2</v>
      </c>
      <c r="F364" s="19" t="s">
        <v>418</v>
      </c>
      <c r="G364" s="19" t="s">
        <v>417</v>
      </c>
      <c r="I364" s="19">
        <v>1</v>
      </c>
    </row>
    <row r="365" spans="1:19" x14ac:dyDescent="0.55000000000000004">
      <c r="A365" s="277" t="str">
        <f>Table3[[#This Row],[Name]]</f>
        <v>E40 (3br) creDt-ccdB P1</v>
      </c>
      <c r="C365" s="19" t="str">
        <f>Table3[[#This Row],[Sequence]]</f>
        <v>gtCGTCTCgctcgTCAGtGAGACCggtaataaggttg</v>
      </c>
      <c r="E365" s="19">
        <v>2.5000000000000001E-2</v>
      </c>
      <c r="F365" s="19" t="s">
        <v>418</v>
      </c>
      <c r="G365" s="19" t="s">
        <v>417</v>
      </c>
      <c r="I365" s="19">
        <v>1</v>
      </c>
    </row>
    <row r="366" spans="1:19" x14ac:dyDescent="0.55000000000000004">
      <c r="A366" s="277" t="str">
        <f>Table3[[#This Row],[Name]]</f>
        <v>E41 (2r) creDt-ccdB P1</v>
      </c>
      <c r="C366" s="19" t="str">
        <f>Table3[[#This Row],[Sequence]]</f>
        <v>gtCGTCTCgctcgCTTCtGAGACCggtaataaggttg</v>
      </c>
      <c r="E366" s="19">
        <v>2.5000000000000001E-2</v>
      </c>
      <c r="F366" s="19" t="s">
        <v>418</v>
      </c>
      <c r="G366" s="19" t="s">
        <v>417</v>
      </c>
      <c r="I366" s="19">
        <v>1</v>
      </c>
    </row>
    <row r="367" spans="1:19" x14ac:dyDescent="0.55000000000000004">
      <c r="A367" s="277" t="str">
        <f>Table3[[#This Row],[Name]]</f>
        <v xml:space="preserve">E42 </v>
      </c>
      <c r="C367" s="19">
        <f>Table3[[#This Row],[Sequence]]</f>
        <v>0</v>
      </c>
      <c r="E367" s="19">
        <v>2.5000000000000001E-2</v>
      </c>
      <c r="F367" s="19" t="s">
        <v>418</v>
      </c>
      <c r="G367" s="19" t="s">
        <v>417</v>
      </c>
      <c r="I367" s="19">
        <v>1</v>
      </c>
    </row>
    <row r="368" spans="1:19" x14ac:dyDescent="0.55000000000000004">
      <c r="A368" s="277" t="str">
        <f>Table3[[#This Row],[Name]]</f>
        <v xml:space="preserve">E43 </v>
      </c>
      <c r="C368" s="19">
        <f>Table3[[#This Row],[Sequence]]</f>
        <v>0</v>
      </c>
      <c r="E368" s="19">
        <v>2.5000000000000001E-2</v>
      </c>
      <c r="F368" s="19" t="s">
        <v>418</v>
      </c>
      <c r="G368" s="19" t="s">
        <v>417</v>
      </c>
      <c r="I368" s="19">
        <v>1</v>
      </c>
    </row>
    <row r="369" spans="1:9" x14ac:dyDescent="0.55000000000000004">
      <c r="A369" s="277" t="str">
        <f>Table3[[#This Row],[Name]]</f>
        <v xml:space="preserve">E44 </v>
      </c>
      <c r="C369" s="19">
        <f>Table3[[#This Row],[Sequence]]</f>
        <v>0</v>
      </c>
      <c r="E369" s="19">
        <v>2.5000000000000001E-2</v>
      </c>
      <c r="F369" s="19" t="s">
        <v>418</v>
      </c>
      <c r="G369" s="19" t="s">
        <v>417</v>
      </c>
      <c r="I369" s="19">
        <v>1</v>
      </c>
    </row>
    <row r="370" spans="1:9" x14ac:dyDescent="0.55000000000000004">
      <c r="A370" s="277" t="str">
        <f>Table3[[#This Row],[Name]]</f>
        <v xml:space="preserve">E45 </v>
      </c>
      <c r="C370" s="19">
        <f>Table3[[#This Row],[Sequence]]</f>
        <v>0</v>
      </c>
      <c r="E370" s="19">
        <v>2.5000000000000001E-2</v>
      </c>
      <c r="F370" s="19" t="s">
        <v>418</v>
      </c>
      <c r="G370" s="19" t="s">
        <v>417</v>
      </c>
      <c r="I370" s="19">
        <v>1</v>
      </c>
    </row>
    <row r="371" spans="1:9" x14ac:dyDescent="0.55000000000000004">
      <c r="A371" s="277" t="str">
        <f>Table3[[#This Row],[Name]]</f>
        <v xml:space="preserve">E46 </v>
      </c>
      <c r="C371" s="19">
        <f>Table3[[#This Row],[Sequence]]</f>
        <v>0</v>
      </c>
      <c r="E371" s="19">
        <v>2.5000000000000001E-2</v>
      </c>
      <c r="F371" s="19" t="s">
        <v>418</v>
      </c>
      <c r="G371" s="19" t="s">
        <v>417</v>
      </c>
      <c r="I371" s="19">
        <v>1</v>
      </c>
    </row>
    <row r="372" spans="1:9" x14ac:dyDescent="0.55000000000000004">
      <c r="A372" s="277" t="str">
        <f>Table3[[#This Row],[Name]]</f>
        <v xml:space="preserve">E47 </v>
      </c>
      <c r="C372" s="19">
        <f>Table3[[#This Row],[Sequence]]</f>
        <v>0</v>
      </c>
      <c r="E372" s="19">
        <v>2.5000000000000001E-2</v>
      </c>
      <c r="F372" s="19" t="s">
        <v>418</v>
      </c>
      <c r="G372" s="19" t="s">
        <v>417</v>
      </c>
      <c r="I372" s="19">
        <v>1</v>
      </c>
    </row>
    <row r="373" spans="1:9" x14ac:dyDescent="0.55000000000000004">
      <c r="A373" s="277" t="str">
        <f>Table3[[#This Row],[Name]]</f>
        <v xml:space="preserve">E48 </v>
      </c>
      <c r="C373" s="19">
        <f>Table3[[#This Row],[Sequence]]</f>
        <v>0</v>
      </c>
      <c r="E373" s="19">
        <v>2.5000000000000001E-2</v>
      </c>
      <c r="F373" s="19" t="s">
        <v>418</v>
      </c>
      <c r="G373" s="19" t="s">
        <v>417</v>
      </c>
      <c r="I373" s="19">
        <v>1</v>
      </c>
    </row>
    <row r="374" spans="1:9" x14ac:dyDescent="0.55000000000000004">
      <c r="A374" s="277" t="str">
        <f>Table3[[#This Row],[Name]]</f>
        <v xml:space="preserve">E49 </v>
      </c>
      <c r="C374" s="19">
        <f>Table3[[#This Row],[Sequence]]</f>
        <v>0</v>
      </c>
      <c r="E374" s="19">
        <v>2.5000000000000001E-2</v>
      </c>
      <c r="F374" s="19" t="s">
        <v>418</v>
      </c>
      <c r="G374" s="19" t="s">
        <v>417</v>
      </c>
      <c r="I374" s="19">
        <v>1</v>
      </c>
    </row>
    <row r="375" spans="1:9" x14ac:dyDescent="0.55000000000000004">
      <c r="A375" s="277" t="str">
        <f>Table3[[#This Row],[Name]]</f>
        <v xml:space="preserve">E50 </v>
      </c>
      <c r="C375" s="19">
        <f>Table3[[#This Row],[Sequence]]</f>
        <v>0</v>
      </c>
      <c r="E375" s="19">
        <v>2.5000000000000001E-2</v>
      </c>
      <c r="F375" s="19" t="s">
        <v>418</v>
      </c>
      <c r="G375" s="19" t="s">
        <v>417</v>
      </c>
      <c r="I375" s="19">
        <v>1</v>
      </c>
    </row>
    <row r="376" spans="1:9" x14ac:dyDescent="0.55000000000000004">
      <c r="A376" s="277" t="str">
        <f>Table3[[#This Row],[Name]]</f>
        <v xml:space="preserve">E51 </v>
      </c>
      <c r="C376" s="19">
        <f>Table3[[#This Row],[Sequence]]</f>
        <v>0</v>
      </c>
      <c r="E376" s="19">
        <v>2.5000000000000001E-2</v>
      </c>
      <c r="F376" s="19" t="s">
        <v>418</v>
      </c>
      <c r="G376" s="19" t="s">
        <v>417</v>
      </c>
      <c r="I376" s="19">
        <v>1</v>
      </c>
    </row>
    <row r="377" spans="1:9" x14ac:dyDescent="0.55000000000000004">
      <c r="A377" s="277" t="str">
        <f>Table3[[#This Row],[Name]]</f>
        <v xml:space="preserve">E52 </v>
      </c>
      <c r="C377" s="19">
        <f>Table3[[#This Row],[Sequence]]</f>
        <v>0</v>
      </c>
      <c r="E377" s="19">
        <v>2.5000000000000001E-2</v>
      </c>
      <c r="F377" s="19" t="s">
        <v>418</v>
      </c>
      <c r="G377" s="19" t="s">
        <v>417</v>
      </c>
      <c r="I377" s="19">
        <v>1</v>
      </c>
    </row>
    <row r="378" spans="1:9" x14ac:dyDescent="0.55000000000000004">
      <c r="A378" s="277" t="str">
        <f>Table3[[#This Row],[Name]]</f>
        <v xml:space="preserve">E53 </v>
      </c>
      <c r="C378" s="19">
        <f>Table3[[#This Row],[Sequence]]</f>
        <v>0</v>
      </c>
      <c r="E378" s="19">
        <v>2.5000000000000001E-2</v>
      </c>
      <c r="F378" s="19" t="s">
        <v>418</v>
      </c>
      <c r="G378" s="19" t="s">
        <v>417</v>
      </c>
      <c r="I378" s="19">
        <v>1</v>
      </c>
    </row>
    <row r="379" spans="1:9" x14ac:dyDescent="0.55000000000000004">
      <c r="A379" s="277" t="str">
        <f>Table3[[#This Row],[Name]]</f>
        <v xml:space="preserve">E54 </v>
      </c>
      <c r="C379" s="19">
        <f>Table3[[#This Row],[Sequence]]</f>
        <v>0</v>
      </c>
      <c r="E379" s="19">
        <v>2.5000000000000001E-2</v>
      </c>
      <c r="F379" s="19" t="s">
        <v>418</v>
      </c>
      <c r="G379" s="19" t="s">
        <v>417</v>
      </c>
      <c r="I379" s="19">
        <v>1</v>
      </c>
    </row>
    <row r="380" spans="1:9" x14ac:dyDescent="0.55000000000000004">
      <c r="A380" s="277" t="str">
        <f>Table3[[#This Row],[Name]]</f>
        <v xml:space="preserve">E55 </v>
      </c>
      <c r="C380" s="19">
        <f>Table3[[#This Row],[Sequence]]</f>
        <v>0</v>
      </c>
      <c r="E380" s="19">
        <v>2.5000000000000001E-2</v>
      </c>
      <c r="F380" s="19" t="s">
        <v>418</v>
      </c>
      <c r="G380" s="19" t="s">
        <v>417</v>
      </c>
      <c r="I380" s="19">
        <v>1</v>
      </c>
    </row>
    <row r="381" spans="1:9" x14ac:dyDescent="0.55000000000000004">
      <c r="A381" s="277" t="str">
        <f>Table3[[#This Row],[Name]]</f>
        <v xml:space="preserve">E56 </v>
      </c>
      <c r="C381" s="19">
        <f>Table3[[#This Row],[Sequence]]</f>
        <v>0</v>
      </c>
      <c r="E381" s="19">
        <v>2.5000000000000001E-2</v>
      </c>
      <c r="F381" s="19" t="s">
        <v>418</v>
      </c>
      <c r="G381" s="19" t="s">
        <v>417</v>
      </c>
      <c r="I381" s="19">
        <v>1</v>
      </c>
    </row>
    <row r="382" spans="1:9" x14ac:dyDescent="0.55000000000000004">
      <c r="A382" s="277" t="str">
        <f>Table3[[#This Row],[Name]]</f>
        <v xml:space="preserve">E57 </v>
      </c>
      <c r="C382" s="19">
        <f>Table3[[#This Row],[Sequence]]</f>
        <v>0</v>
      </c>
      <c r="E382" s="19">
        <v>2.5000000000000001E-2</v>
      </c>
      <c r="F382" s="19" t="s">
        <v>418</v>
      </c>
      <c r="G382" s="19" t="s">
        <v>417</v>
      </c>
      <c r="I382" s="19">
        <v>1</v>
      </c>
    </row>
    <row r="383" spans="1:9" x14ac:dyDescent="0.55000000000000004">
      <c r="A383" s="277" t="str">
        <f>Table3[[#This Row],[Name]]</f>
        <v xml:space="preserve">E58 </v>
      </c>
      <c r="C383" s="19">
        <f>Table3[[#This Row],[Sequence]]</f>
        <v>0</v>
      </c>
      <c r="E383" s="19">
        <v>2.5000000000000001E-2</v>
      </c>
      <c r="F383" s="19" t="s">
        <v>418</v>
      </c>
      <c r="G383" s="19" t="s">
        <v>417</v>
      </c>
      <c r="I383" s="19">
        <v>1</v>
      </c>
    </row>
    <row r="384" spans="1:9" x14ac:dyDescent="0.55000000000000004">
      <c r="A384" s="277" t="str">
        <f>Table3[[#This Row],[Name]]</f>
        <v xml:space="preserve">E59 </v>
      </c>
      <c r="C384" s="19">
        <f>Table3[[#This Row],[Sequence]]</f>
        <v>0</v>
      </c>
      <c r="E384" s="19">
        <v>2.5000000000000001E-2</v>
      </c>
      <c r="F384" s="19" t="s">
        <v>418</v>
      </c>
      <c r="G384" s="19" t="s">
        <v>417</v>
      </c>
      <c r="I384" s="19">
        <v>1</v>
      </c>
    </row>
    <row r="385" spans="1:9" x14ac:dyDescent="0.55000000000000004">
      <c r="A385" s="277" t="str">
        <f>Table3[[#This Row],[Name]]</f>
        <v xml:space="preserve">E60 </v>
      </c>
      <c r="C385" s="19">
        <f>Table3[[#This Row],[Sequence]]</f>
        <v>0</v>
      </c>
      <c r="E385" s="19">
        <v>2.5000000000000001E-2</v>
      </c>
      <c r="F385" s="19" t="s">
        <v>418</v>
      </c>
      <c r="G385" s="19" t="s">
        <v>417</v>
      </c>
      <c r="I385" s="19">
        <v>1</v>
      </c>
    </row>
    <row r="386" spans="1:9" x14ac:dyDescent="0.55000000000000004">
      <c r="A386" s="277" t="str">
        <f>Table3[[#This Row],[Name]]</f>
        <v xml:space="preserve">E61 </v>
      </c>
      <c r="C386" s="19">
        <f>Table3[[#This Row],[Sequence]]</f>
        <v>0</v>
      </c>
      <c r="E386" s="19">
        <v>2.5000000000000001E-2</v>
      </c>
      <c r="F386" s="19" t="s">
        <v>418</v>
      </c>
      <c r="G386" s="19" t="s">
        <v>417</v>
      </c>
      <c r="I386" s="19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published="0" codeName="Sheet5">
    <tabColor rgb="FF92D050"/>
  </sheetPr>
  <dimension ref="A1:X104"/>
  <sheetViews>
    <sheetView topLeftCell="A52" zoomScale="92" zoomScaleNormal="100" workbookViewId="0">
      <selection activeCell="E79" sqref="E79"/>
    </sheetView>
  </sheetViews>
  <sheetFormatPr defaultColWidth="12" defaultRowHeight="14.4" x14ac:dyDescent="0.55000000000000004"/>
  <cols>
    <col min="1" max="1" width="17.68359375" style="24" customWidth="1"/>
    <col min="2" max="2" width="12.5234375" style="24" customWidth="1"/>
    <col min="3" max="3" width="12.7890625" style="24" customWidth="1"/>
    <col min="4" max="4" width="18.5234375" style="24" customWidth="1"/>
    <col min="5" max="5" width="17" style="24" customWidth="1"/>
    <col min="6" max="6" width="16.89453125" style="24" customWidth="1"/>
    <col min="7" max="7" width="13.68359375" style="24" customWidth="1"/>
    <col min="8" max="8" width="11.68359375" style="24" customWidth="1"/>
    <col min="9" max="9" width="13.41796875" style="24" customWidth="1"/>
    <col min="10" max="12" width="11.1015625" style="24" customWidth="1"/>
    <col min="13" max="13" width="12.20703125" style="24" customWidth="1"/>
    <col min="14" max="14" width="11.1015625" style="24" customWidth="1"/>
    <col min="15" max="15" width="10.7890625" style="24" customWidth="1"/>
    <col min="16" max="16" width="11.1015625" style="24" customWidth="1"/>
    <col min="17" max="17" width="10.7890625" style="24" customWidth="1"/>
    <col min="18" max="18" width="22.3125" style="24" customWidth="1"/>
    <col min="19" max="19" width="14.41796875" style="24" customWidth="1"/>
    <col min="20" max="20" width="12" style="24"/>
    <col min="21" max="21" width="11.3125" style="24" customWidth="1"/>
    <col min="22" max="22" width="22.20703125" style="24" customWidth="1"/>
    <col min="23" max="16384" width="12" style="24"/>
  </cols>
  <sheetData>
    <row r="1" spans="1:20" ht="15.9" thickBot="1" x14ac:dyDescent="0.65">
      <c r="A1" s="22" t="s">
        <v>551</v>
      </c>
      <c r="B1" s="22" t="s">
        <v>25</v>
      </c>
      <c r="C1" s="22" t="s">
        <v>118</v>
      </c>
      <c r="D1" s="22" t="s">
        <v>119</v>
      </c>
      <c r="E1" s="22" t="s">
        <v>120</v>
      </c>
      <c r="F1" s="22" t="s">
        <v>24</v>
      </c>
      <c r="G1" s="22" t="s">
        <v>121</v>
      </c>
      <c r="H1" s="22" t="s">
        <v>122</v>
      </c>
      <c r="I1" s="22" t="s">
        <v>123</v>
      </c>
      <c r="J1" s="22" t="s">
        <v>60</v>
      </c>
      <c r="K1" s="23"/>
      <c r="L1" s="23"/>
    </row>
    <row r="2" spans="1:20" ht="15.6" x14ac:dyDescent="0.6">
      <c r="A2" s="24" t="s">
        <v>74</v>
      </c>
      <c r="B2" s="24" t="s">
        <v>552</v>
      </c>
      <c r="C2" s="24" t="s">
        <v>1036</v>
      </c>
      <c r="D2" s="24" t="s">
        <v>75</v>
      </c>
      <c r="E2" s="25">
        <v>1234</v>
      </c>
      <c r="F2" s="26" t="s">
        <v>553</v>
      </c>
      <c r="G2" s="25">
        <v>5678</v>
      </c>
      <c r="H2" s="24" t="s">
        <v>113</v>
      </c>
      <c r="I2" s="24" t="s">
        <v>294</v>
      </c>
      <c r="J2" s="24" t="s">
        <v>554</v>
      </c>
      <c r="K2" s="23"/>
      <c r="L2" s="23"/>
      <c r="M2" s="24" t="s">
        <v>75</v>
      </c>
      <c r="N2" s="24" t="s">
        <v>73</v>
      </c>
    </row>
    <row r="3" spans="1:20" ht="15.6" x14ac:dyDescent="0.6">
      <c r="A3" s="24" t="s">
        <v>555</v>
      </c>
      <c r="B3" s="27" t="s">
        <v>556</v>
      </c>
      <c r="D3" s="24" t="s">
        <v>75</v>
      </c>
      <c r="E3" s="25">
        <v>1234</v>
      </c>
      <c r="F3" s="26" t="s">
        <v>553</v>
      </c>
      <c r="G3" s="25">
        <v>5678</v>
      </c>
      <c r="H3" s="24" t="s">
        <v>557</v>
      </c>
      <c r="I3" s="24" t="s">
        <v>110</v>
      </c>
      <c r="J3" s="24" t="s">
        <v>554</v>
      </c>
      <c r="K3" s="23"/>
      <c r="L3" s="23"/>
      <c r="M3" s="24" t="s">
        <v>113</v>
      </c>
      <c r="N3" s="24" t="s">
        <v>896</v>
      </c>
    </row>
    <row r="4" spans="1:20" ht="15.6" x14ac:dyDescent="0.6">
      <c r="A4" s="24" t="s">
        <v>558</v>
      </c>
      <c r="B4" s="27" t="s">
        <v>559</v>
      </c>
      <c r="D4" s="24" t="s">
        <v>557</v>
      </c>
      <c r="E4" s="25">
        <v>1234</v>
      </c>
      <c r="F4" s="26" t="s">
        <v>553</v>
      </c>
      <c r="G4" s="25">
        <v>5678</v>
      </c>
      <c r="H4" s="24" t="s">
        <v>113</v>
      </c>
      <c r="I4" s="24" t="s">
        <v>110</v>
      </c>
      <c r="J4" s="24" t="s">
        <v>554</v>
      </c>
      <c r="K4" s="23"/>
      <c r="L4" s="23"/>
    </row>
    <row r="5" spans="1:20" ht="15.6" x14ac:dyDescent="0.6">
      <c r="B5" s="27"/>
      <c r="F5" s="26"/>
      <c r="K5" s="23"/>
      <c r="L5" s="23"/>
    </row>
    <row r="6" spans="1:20" ht="15.6" x14ac:dyDescent="0.6">
      <c r="A6" s="24" t="s">
        <v>560</v>
      </c>
      <c r="B6" s="28">
        <v>1</v>
      </c>
      <c r="C6" s="24" t="s">
        <v>603</v>
      </c>
      <c r="D6" s="24" t="s">
        <v>218</v>
      </c>
      <c r="F6" s="26" t="s">
        <v>1039</v>
      </c>
      <c r="H6" s="24" t="s">
        <v>466</v>
      </c>
      <c r="I6" s="24" t="s">
        <v>604</v>
      </c>
      <c r="J6" s="24" t="s">
        <v>1033</v>
      </c>
      <c r="K6" s="23"/>
      <c r="L6" s="23"/>
    </row>
    <row r="7" spans="1:20" ht="15.6" x14ac:dyDescent="0.6">
      <c r="A7" s="24" t="s">
        <v>1032</v>
      </c>
      <c r="B7" s="28">
        <v>12</v>
      </c>
      <c r="C7" s="24" t="s">
        <v>603</v>
      </c>
      <c r="D7" s="24" t="s">
        <v>218</v>
      </c>
      <c r="F7" s="26" t="s">
        <v>1040</v>
      </c>
      <c r="H7" s="29" t="s">
        <v>73</v>
      </c>
      <c r="I7" s="24" t="s">
        <v>604</v>
      </c>
      <c r="J7" s="24" t="s">
        <v>1034</v>
      </c>
      <c r="K7" s="23"/>
      <c r="L7" s="23"/>
    </row>
    <row r="8" spans="1:20" ht="15.6" x14ac:dyDescent="0.6">
      <c r="A8" s="24" t="s">
        <v>442</v>
      </c>
      <c r="B8" s="28">
        <v>2</v>
      </c>
      <c r="C8" s="24" t="s">
        <v>603</v>
      </c>
      <c r="D8" s="24" t="s">
        <v>466</v>
      </c>
      <c r="F8" s="26" t="s">
        <v>553</v>
      </c>
      <c r="G8" s="30"/>
      <c r="H8" s="29" t="s">
        <v>73</v>
      </c>
      <c r="I8" s="24" t="s">
        <v>604</v>
      </c>
      <c r="K8" s="23"/>
      <c r="L8" s="23"/>
    </row>
    <row r="9" spans="1:20" ht="15.6" x14ac:dyDescent="0.6">
      <c r="A9" s="24" t="s">
        <v>547</v>
      </c>
      <c r="B9" s="28" t="s">
        <v>610</v>
      </c>
      <c r="C9" s="24" t="s">
        <v>603</v>
      </c>
      <c r="D9" s="24" t="s">
        <v>466</v>
      </c>
      <c r="F9" s="26" t="s">
        <v>553</v>
      </c>
      <c r="G9" s="30"/>
      <c r="H9" s="24" t="s">
        <v>501</v>
      </c>
      <c r="I9" s="24" t="s">
        <v>604</v>
      </c>
      <c r="K9" s="23"/>
      <c r="L9" s="23"/>
      <c r="S9" s="31" t="s">
        <v>218</v>
      </c>
      <c r="T9" s="31" t="s">
        <v>624</v>
      </c>
    </row>
    <row r="10" spans="1:20" ht="15.6" x14ac:dyDescent="0.6">
      <c r="A10" s="24" t="s">
        <v>548</v>
      </c>
      <c r="B10" s="28" t="s">
        <v>611</v>
      </c>
      <c r="C10" s="24" t="s">
        <v>603</v>
      </c>
      <c r="D10" s="24" t="s">
        <v>501</v>
      </c>
      <c r="F10" s="26" t="s">
        <v>553</v>
      </c>
      <c r="G10" s="30"/>
      <c r="H10" s="24" t="s">
        <v>73</v>
      </c>
      <c r="I10" s="24" t="s">
        <v>604</v>
      </c>
      <c r="K10" s="23"/>
      <c r="L10" s="23"/>
      <c r="S10" s="29" t="s">
        <v>466</v>
      </c>
      <c r="T10" s="24" t="s">
        <v>625</v>
      </c>
    </row>
    <row r="11" spans="1:20" ht="15.6" x14ac:dyDescent="0.6">
      <c r="A11" s="24" t="s">
        <v>561</v>
      </c>
      <c r="B11" s="28">
        <v>3</v>
      </c>
      <c r="C11" s="24" t="s">
        <v>603</v>
      </c>
      <c r="D11" s="24" t="s">
        <v>73</v>
      </c>
      <c r="F11" s="26" t="s">
        <v>553</v>
      </c>
      <c r="G11" s="30"/>
      <c r="H11" s="32" t="s">
        <v>1041</v>
      </c>
      <c r="I11" s="24" t="s">
        <v>604</v>
      </c>
      <c r="K11" s="23"/>
      <c r="L11" s="23"/>
      <c r="S11" s="33" t="s">
        <v>73</v>
      </c>
      <c r="T11" s="24" t="s">
        <v>626</v>
      </c>
    </row>
    <row r="12" spans="1:20" ht="15.6" x14ac:dyDescent="0.6">
      <c r="A12" s="24" t="s">
        <v>549</v>
      </c>
      <c r="B12" s="28" t="s">
        <v>612</v>
      </c>
      <c r="C12" s="24" t="s">
        <v>603</v>
      </c>
      <c r="D12" s="24" t="s">
        <v>73</v>
      </c>
      <c r="F12" s="26" t="s">
        <v>553</v>
      </c>
      <c r="G12" s="30"/>
      <c r="I12" s="24" t="s">
        <v>604</v>
      </c>
      <c r="K12" s="23"/>
      <c r="L12" s="23"/>
      <c r="S12" s="34" t="s">
        <v>282</v>
      </c>
      <c r="T12" s="24" t="s">
        <v>627</v>
      </c>
    </row>
    <row r="13" spans="1:20" ht="15.6" x14ac:dyDescent="0.6">
      <c r="A13" s="24" t="s">
        <v>550</v>
      </c>
      <c r="B13" s="28" t="s">
        <v>613</v>
      </c>
      <c r="C13" s="24" t="s">
        <v>603</v>
      </c>
      <c r="F13" s="26" t="s">
        <v>553</v>
      </c>
      <c r="G13" s="30"/>
      <c r="H13" s="32" t="s">
        <v>1041</v>
      </c>
      <c r="I13" s="24" t="s">
        <v>604</v>
      </c>
      <c r="K13" s="23"/>
      <c r="L13" s="23"/>
      <c r="S13" s="35" t="s">
        <v>291</v>
      </c>
      <c r="T13" s="24" t="s">
        <v>628</v>
      </c>
    </row>
    <row r="14" spans="1:20" ht="15.6" x14ac:dyDescent="0.6">
      <c r="A14" s="24" t="s">
        <v>599</v>
      </c>
      <c r="B14" s="28">
        <v>4</v>
      </c>
      <c r="C14" s="24" t="s">
        <v>603</v>
      </c>
      <c r="D14" s="32" t="s">
        <v>1041</v>
      </c>
      <c r="E14" s="24" t="s">
        <v>607</v>
      </c>
      <c r="F14" s="26" t="s">
        <v>553</v>
      </c>
      <c r="H14" s="24" t="s">
        <v>21</v>
      </c>
      <c r="I14" s="24" t="s">
        <v>604</v>
      </c>
      <c r="J14" s="24" t="s">
        <v>562</v>
      </c>
      <c r="K14" s="23"/>
      <c r="L14" s="23"/>
      <c r="S14" s="29" t="s">
        <v>231</v>
      </c>
      <c r="T14" s="33" t="s">
        <v>629</v>
      </c>
    </row>
    <row r="15" spans="1:20" ht="15.6" x14ac:dyDescent="0.6">
      <c r="A15" s="24" t="s">
        <v>620</v>
      </c>
      <c r="B15" s="28" t="s">
        <v>614</v>
      </c>
      <c r="C15" s="24" t="s">
        <v>603</v>
      </c>
      <c r="D15" s="32" t="s">
        <v>1041</v>
      </c>
      <c r="F15" s="26" t="s">
        <v>553</v>
      </c>
      <c r="G15" s="24" t="s">
        <v>609</v>
      </c>
      <c r="H15" s="24" t="s">
        <v>291</v>
      </c>
      <c r="I15" s="24" t="s">
        <v>604</v>
      </c>
      <c r="J15" s="24" t="s">
        <v>562</v>
      </c>
      <c r="K15" s="23"/>
      <c r="L15" s="23"/>
      <c r="S15" s="29" t="s">
        <v>21</v>
      </c>
      <c r="T15" s="24" t="s">
        <v>230</v>
      </c>
    </row>
    <row r="16" spans="1:20" ht="15.6" x14ac:dyDescent="0.6">
      <c r="A16" s="24" t="s">
        <v>621</v>
      </c>
      <c r="B16" s="28" t="s">
        <v>615</v>
      </c>
      <c r="C16" s="24" t="s">
        <v>603</v>
      </c>
      <c r="D16" s="24" t="s">
        <v>291</v>
      </c>
      <c r="F16" s="26" t="s">
        <v>553</v>
      </c>
      <c r="G16" s="24" t="s">
        <v>609</v>
      </c>
      <c r="H16" s="24" t="s">
        <v>231</v>
      </c>
      <c r="I16" s="24" t="s">
        <v>604</v>
      </c>
      <c r="J16" s="24" t="s">
        <v>61</v>
      </c>
      <c r="K16" s="23"/>
      <c r="L16" s="23"/>
      <c r="S16" s="34" t="s">
        <v>16</v>
      </c>
      <c r="T16" s="24" t="s">
        <v>630</v>
      </c>
    </row>
    <row r="17" spans="1:20" ht="15.6" x14ac:dyDescent="0.6">
      <c r="A17" s="24" t="s">
        <v>622</v>
      </c>
      <c r="B17" s="28" t="s">
        <v>616</v>
      </c>
      <c r="C17" s="24" t="s">
        <v>603</v>
      </c>
      <c r="D17" s="24" t="s">
        <v>231</v>
      </c>
      <c r="F17" s="26" t="s">
        <v>553</v>
      </c>
      <c r="G17" s="24" t="s">
        <v>608</v>
      </c>
      <c r="H17" s="24" t="s">
        <v>21</v>
      </c>
      <c r="I17" s="24" t="s">
        <v>604</v>
      </c>
      <c r="J17" s="24" t="s">
        <v>563</v>
      </c>
      <c r="K17" s="23"/>
      <c r="L17" s="23"/>
      <c r="S17" s="29" t="s">
        <v>20</v>
      </c>
      <c r="T17" s="24" t="s">
        <v>631</v>
      </c>
    </row>
    <row r="18" spans="1:20" ht="15.6" x14ac:dyDescent="0.6">
      <c r="A18" s="24" t="s">
        <v>564</v>
      </c>
      <c r="B18" s="28">
        <v>5</v>
      </c>
      <c r="C18" s="24" t="s">
        <v>603</v>
      </c>
      <c r="D18" s="24" t="s">
        <v>21</v>
      </c>
      <c r="E18" s="36"/>
      <c r="F18" s="26" t="s">
        <v>553</v>
      </c>
      <c r="H18" s="24" t="s">
        <v>16</v>
      </c>
      <c r="I18" s="24" t="s">
        <v>604</v>
      </c>
      <c r="J18" s="24" t="s">
        <v>606</v>
      </c>
      <c r="K18" s="23"/>
      <c r="L18" s="23"/>
      <c r="S18" s="29" t="s">
        <v>19</v>
      </c>
      <c r="T18" s="24" t="s">
        <v>632</v>
      </c>
    </row>
    <row r="19" spans="1:20" ht="15.6" x14ac:dyDescent="0.6">
      <c r="A19" s="24" t="s">
        <v>1035</v>
      </c>
      <c r="B19" s="28">
        <v>56</v>
      </c>
      <c r="C19" s="24" t="s">
        <v>603</v>
      </c>
      <c r="D19" s="24" t="s">
        <v>21</v>
      </c>
      <c r="E19" s="36"/>
      <c r="F19" s="26" t="s">
        <v>1042</v>
      </c>
      <c r="H19" s="24" t="s">
        <v>20</v>
      </c>
      <c r="K19" s="23"/>
      <c r="L19" s="23"/>
      <c r="S19" s="29"/>
    </row>
    <row r="20" spans="1:20" ht="15.6" x14ac:dyDescent="0.6">
      <c r="A20" s="24" t="s">
        <v>623</v>
      </c>
      <c r="B20" s="28">
        <v>6</v>
      </c>
      <c r="C20" s="24" t="s">
        <v>603</v>
      </c>
      <c r="D20" s="24" t="s">
        <v>16</v>
      </c>
      <c r="F20" s="26" t="s">
        <v>1043</v>
      </c>
      <c r="G20" s="24" t="s">
        <v>62</v>
      </c>
      <c r="H20" s="24" t="s">
        <v>20</v>
      </c>
      <c r="I20" s="24" t="s">
        <v>604</v>
      </c>
      <c r="J20" s="24" t="s">
        <v>63</v>
      </c>
      <c r="K20" s="23"/>
      <c r="L20" s="23"/>
      <c r="S20" s="31" t="s">
        <v>72</v>
      </c>
      <c r="T20" s="31" t="s">
        <v>633</v>
      </c>
    </row>
    <row r="21" spans="1:20" ht="15.6" x14ac:dyDescent="0.6">
      <c r="A21" s="24" t="s">
        <v>565</v>
      </c>
      <c r="B21" s="28">
        <v>7</v>
      </c>
      <c r="C21" s="24" t="s">
        <v>603</v>
      </c>
      <c r="D21" s="24" t="s">
        <v>20</v>
      </c>
      <c r="E21" s="37" t="s">
        <v>18</v>
      </c>
      <c r="F21" s="26" t="s">
        <v>553</v>
      </c>
      <c r="G21" s="37" t="s">
        <v>18</v>
      </c>
      <c r="H21" s="24" t="s">
        <v>19</v>
      </c>
      <c r="I21" s="24" t="s">
        <v>604</v>
      </c>
      <c r="J21" s="24" t="s">
        <v>112</v>
      </c>
      <c r="K21" s="23"/>
      <c r="L21" s="23"/>
      <c r="S21" s="29" t="s">
        <v>468</v>
      </c>
      <c r="T21" s="24" t="s">
        <v>11</v>
      </c>
    </row>
    <row r="22" spans="1:20" ht="15.6" x14ac:dyDescent="0.6">
      <c r="A22" s="24" t="s">
        <v>566</v>
      </c>
      <c r="B22" s="28">
        <v>8</v>
      </c>
      <c r="C22" s="24" t="s">
        <v>603</v>
      </c>
      <c r="D22" s="24" t="s">
        <v>19</v>
      </c>
      <c r="F22" s="26" t="s">
        <v>553</v>
      </c>
      <c r="H22" s="24" t="s">
        <v>72</v>
      </c>
      <c r="I22" s="24" t="s">
        <v>604</v>
      </c>
      <c r="K22" s="23"/>
      <c r="L22" s="23"/>
      <c r="S22" s="35" t="s">
        <v>467</v>
      </c>
      <c r="T22" s="24" t="s">
        <v>634</v>
      </c>
    </row>
    <row r="23" spans="1:20" ht="15.6" x14ac:dyDescent="0.6">
      <c r="A23" s="24" t="s">
        <v>567</v>
      </c>
      <c r="B23" s="28">
        <v>9</v>
      </c>
      <c r="C23" s="24" t="s">
        <v>603</v>
      </c>
      <c r="D23" s="24" t="s">
        <v>72</v>
      </c>
      <c r="F23" s="26" t="s">
        <v>553</v>
      </c>
      <c r="H23" s="24" t="s">
        <v>218</v>
      </c>
      <c r="I23" s="24" t="s">
        <v>604</v>
      </c>
      <c r="K23" s="23"/>
      <c r="L23" s="23"/>
    </row>
    <row r="24" spans="1:20" ht="15.6" x14ac:dyDescent="0.6">
      <c r="A24" s="24" t="s">
        <v>450</v>
      </c>
      <c r="B24" s="28" t="s">
        <v>617</v>
      </c>
      <c r="C24" s="24" t="s">
        <v>603</v>
      </c>
      <c r="D24" s="24" t="s">
        <v>72</v>
      </c>
      <c r="E24" s="37"/>
      <c r="F24" s="26" t="s">
        <v>553</v>
      </c>
      <c r="G24" s="37"/>
      <c r="H24" s="24" t="s">
        <v>468</v>
      </c>
      <c r="I24" s="24" t="s">
        <v>604</v>
      </c>
      <c r="K24" s="23"/>
      <c r="L24" s="23"/>
    </row>
    <row r="25" spans="1:20" ht="15.6" x14ac:dyDescent="0.6">
      <c r="A25" s="24" t="s">
        <v>568</v>
      </c>
      <c r="B25" s="28" t="s">
        <v>618</v>
      </c>
      <c r="C25" s="24" t="s">
        <v>603</v>
      </c>
      <c r="D25" s="24" t="s">
        <v>468</v>
      </c>
      <c r="E25" s="37" t="s">
        <v>18</v>
      </c>
      <c r="F25" s="26" t="s">
        <v>553</v>
      </c>
      <c r="G25" s="37" t="s">
        <v>18</v>
      </c>
      <c r="H25" s="24" t="s">
        <v>467</v>
      </c>
      <c r="I25" s="24" t="s">
        <v>604</v>
      </c>
      <c r="J25" s="24" t="s">
        <v>605</v>
      </c>
      <c r="K25" s="23"/>
      <c r="L25" s="23"/>
    </row>
    <row r="26" spans="1:20" ht="15.6" x14ac:dyDescent="0.6">
      <c r="A26" s="24" t="s">
        <v>452</v>
      </c>
      <c r="B26" s="28" t="s">
        <v>619</v>
      </c>
      <c r="C26" s="24" t="s">
        <v>603</v>
      </c>
      <c r="D26" s="24" t="s">
        <v>467</v>
      </c>
      <c r="F26" s="26" t="s">
        <v>553</v>
      </c>
      <c r="H26" s="24" t="s">
        <v>218</v>
      </c>
      <c r="I26" s="24" t="s">
        <v>604</v>
      </c>
      <c r="K26" s="23"/>
      <c r="L26" s="23"/>
    </row>
    <row r="27" spans="1:20" ht="15.6" x14ac:dyDescent="0.6">
      <c r="A27" s="38"/>
      <c r="B27" s="28" t="s">
        <v>17</v>
      </c>
      <c r="C27" s="24" t="s">
        <v>14</v>
      </c>
      <c r="D27" s="24" t="s">
        <v>13</v>
      </c>
      <c r="E27" s="39" t="s">
        <v>1044</v>
      </c>
      <c r="F27" s="26" t="s">
        <v>553</v>
      </c>
      <c r="G27" s="39" t="s">
        <v>126</v>
      </c>
      <c r="H27" s="24" t="s">
        <v>16</v>
      </c>
      <c r="I27" s="24" t="s">
        <v>11</v>
      </c>
      <c r="J27" s="24" t="s">
        <v>111</v>
      </c>
      <c r="K27" s="23"/>
      <c r="L27" s="23"/>
    </row>
    <row r="28" spans="1:20" ht="15.6" x14ac:dyDescent="0.6">
      <c r="B28" s="28" t="s">
        <v>15</v>
      </c>
      <c r="C28" s="24" t="s">
        <v>14</v>
      </c>
      <c r="D28" s="24" t="s">
        <v>13</v>
      </c>
      <c r="E28" s="39" t="s">
        <v>1044</v>
      </c>
      <c r="F28" s="26" t="s">
        <v>553</v>
      </c>
      <c r="G28" s="39" t="s">
        <v>126</v>
      </c>
      <c r="H28" s="24" t="s">
        <v>12</v>
      </c>
      <c r="I28" s="24" t="s">
        <v>11</v>
      </c>
      <c r="J28" s="24" t="s">
        <v>111</v>
      </c>
      <c r="K28" s="23"/>
      <c r="L28" s="23"/>
    </row>
    <row r="30" spans="1:20" x14ac:dyDescent="0.55000000000000004">
      <c r="B30" s="40"/>
    </row>
    <row r="31" spans="1:20" x14ac:dyDescent="0.55000000000000004">
      <c r="A31" s="316" t="s">
        <v>1018</v>
      </c>
      <c r="B31" s="316"/>
      <c r="C31" s="316"/>
      <c r="D31" s="316"/>
      <c r="E31" s="317" t="s">
        <v>1017</v>
      </c>
      <c r="F31" s="318"/>
      <c r="G31" s="318"/>
      <c r="H31" s="317" t="s">
        <v>1020</v>
      </c>
      <c r="I31" s="318"/>
      <c r="J31" s="318"/>
      <c r="K31" s="318"/>
      <c r="L31" s="318"/>
      <c r="M31" s="318"/>
      <c r="N31" s="318"/>
      <c r="O31" s="319"/>
    </row>
    <row r="32" spans="1:20" x14ac:dyDescent="0.55000000000000004">
      <c r="B32" s="32"/>
      <c r="C32" s="41" t="s">
        <v>116</v>
      </c>
      <c r="D32" s="42" t="s">
        <v>117</v>
      </c>
      <c r="F32" s="43" t="s">
        <v>114</v>
      </c>
      <c r="G32" s="44" t="s">
        <v>115</v>
      </c>
      <c r="I32" s="45" t="s">
        <v>274</v>
      </c>
      <c r="J32" s="45" t="s">
        <v>860</v>
      </c>
      <c r="K32" s="46" t="s">
        <v>275</v>
      </c>
      <c r="M32" s="45" t="s">
        <v>918</v>
      </c>
      <c r="N32" s="45" t="s">
        <v>861</v>
      </c>
      <c r="O32" s="46" t="s">
        <v>919</v>
      </c>
    </row>
    <row r="33" spans="1:24" x14ac:dyDescent="0.55000000000000004">
      <c r="A33" s="32" t="s">
        <v>400</v>
      </c>
      <c r="B33" s="47">
        <v>1</v>
      </c>
      <c r="C33" s="29" t="s">
        <v>218</v>
      </c>
      <c r="D33" s="48" t="s">
        <v>466</v>
      </c>
      <c r="E33" s="47" t="s">
        <v>283</v>
      </c>
      <c r="F33" s="49" t="s">
        <v>218</v>
      </c>
      <c r="G33" s="50" t="s">
        <v>466</v>
      </c>
      <c r="H33" s="51" t="s">
        <v>273</v>
      </c>
      <c r="I33" s="52" t="s">
        <v>116</v>
      </c>
      <c r="J33" s="52" t="s">
        <v>125</v>
      </c>
      <c r="K33" s="53" t="s">
        <v>117</v>
      </c>
      <c r="L33" s="51" t="s">
        <v>273</v>
      </c>
      <c r="M33" s="52" t="s">
        <v>116</v>
      </c>
      <c r="N33" s="52" t="s">
        <v>124</v>
      </c>
      <c r="O33" s="53" t="s">
        <v>117</v>
      </c>
      <c r="P33" s="54"/>
      <c r="Q33" s="317" t="s">
        <v>1019</v>
      </c>
      <c r="R33" s="316"/>
      <c r="S33" s="316"/>
      <c r="T33" s="316"/>
      <c r="U33" s="316"/>
      <c r="V33" s="316"/>
      <c r="W33" s="319"/>
      <c r="X33" s="55"/>
    </row>
    <row r="34" spans="1:24" x14ac:dyDescent="0.55000000000000004">
      <c r="A34" s="32" t="s">
        <v>1032</v>
      </c>
      <c r="B34" s="229">
        <v>12</v>
      </c>
      <c r="C34" s="29" t="s">
        <v>218</v>
      </c>
      <c r="D34" s="56" t="s">
        <v>73</v>
      </c>
      <c r="E34" s="57" t="s">
        <v>64</v>
      </c>
      <c r="F34" s="49" t="s">
        <v>466</v>
      </c>
      <c r="G34" s="232" t="s">
        <v>1006</v>
      </c>
      <c r="H34" s="58" t="s">
        <v>277</v>
      </c>
      <c r="I34" s="59" t="s">
        <v>127</v>
      </c>
      <c r="J34" s="59" t="s">
        <v>130</v>
      </c>
      <c r="K34" s="60" t="s">
        <v>128</v>
      </c>
      <c r="L34" s="58" t="s">
        <v>277</v>
      </c>
      <c r="M34" s="59" t="s">
        <v>127</v>
      </c>
      <c r="N34" s="59" t="s">
        <v>129</v>
      </c>
      <c r="O34" s="60" t="s">
        <v>128</v>
      </c>
      <c r="P34" s="54"/>
      <c r="R34" s="32" t="s">
        <v>930</v>
      </c>
      <c r="S34" s="32" t="s">
        <v>929</v>
      </c>
      <c r="T34" s="32"/>
      <c r="U34" s="32" t="s">
        <v>929</v>
      </c>
      <c r="V34" s="32" t="s">
        <v>930</v>
      </c>
      <c r="W34" s="61"/>
    </row>
    <row r="35" spans="1:24" x14ac:dyDescent="0.55000000000000004">
      <c r="A35" s="32" t="s">
        <v>442</v>
      </c>
      <c r="B35" s="47">
        <v>2</v>
      </c>
      <c r="C35" s="29" t="s">
        <v>466</v>
      </c>
      <c r="D35" s="56" t="s">
        <v>73</v>
      </c>
      <c r="E35" s="57" t="s">
        <v>65</v>
      </c>
      <c r="F35" s="231" t="s">
        <v>1006</v>
      </c>
      <c r="G35" s="56" t="s">
        <v>528</v>
      </c>
      <c r="H35" s="62" t="s">
        <v>77</v>
      </c>
      <c r="I35" s="63" t="s">
        <v>218</v>
      </c>
      <c r="J35" s="64" t="s">
        <v>466</v>
      </c>
      <c r="K35" s="64" t="s">
        <v>466</v>
      </c>
      <c r="L35" s="62" t="s">
        <v>86</v>
      </c>
      <c r="M35" s="64" t="s">
        <v>16</v>
      </c>
      <c r="N35" s="65" t="s">
        <v>1006</v>
      </c>
      <c r="O35" s="66" t="s">
        <v>20</v>
      </c>
      <c r="Q35" s="62" t="s">
        <v>77</v>
      </c>
      <c r="R35" s="24" t="s">
        <v>931</v>
      </c>
      <c r="S35" s="24" t="s">
        <v>952</v>
      </c>
      <c r="T35" s="62" t="s">
        <v>86</v>
      </c>
      <c r="U35" s="24" t="s">
        <v>110</v>
      </c>
      <c r="V35" s="24" t="s">
        <v>975</v>
      </c>
      <c r="W35" s="61"/>
    </row>
    <row r="36" spans="1:24" x14ac:dyDescent="0.55000000000000004">
      <c r="A36" s="32" t="s">
        <v>547</v>
      </c>
      <c r="B36" s="229" t="s">
        <v>4</v>
      </c>
      <c r="C36" s="29" t="s">
        <v>466</v>
      </c>
      <c r="D36" s="24" t="s">
        <v>501</v>
      </c>
      <c r="E36" s="57" t="s">
        <v>66</v>
      </c>
      <c r="F36" s="29" t="s">
        <v>528</v>
      </c>
      <c r="G36" s="67" t="s">
        <v>291</v>
      </c>
      <c r="H36" s="62" t="s">
        <v>78</v>
      </c>
      <c r="I36" s="63" t="s">
        <v>218</v>
      </c>
      <c r="J36" s="65" t="s">
        <v>1006</v>
      </c>
      <c r="K36" s="64" t="s">
        <v>466</v>
      </c>
      <c r="L36" s="62" t="s">
        <v>87</v>
      </c>
      <c r="M36" s="64" t="s">
        <v>16</v>
      </c>
      <c r="N36" s="68" t="s">
        <v>528</v>
      </c>
      <c r="O36" s="66" t="s">
        <v>20</v>
      </c>
      <c r="Q36" s="62" t="s">
        <v>78</v>
      </c>
      <c r="R36" s="24" t="s">
        <v>931</v>
      </c>
      <c r="S36" s="24" t="s">
        <v>953</v>
      </c>
      <c r="T36" s="62" t="s">
        <v>87</v>
      </c>
      <c r="U36" s="24" t="s">
        <v>110</v>
      </c>
      <c r="V36" s="24" t="s">
        <v>975</v>
      </c>
      <c r="W36" s="61"/>
    </row>
    <row r="37" spans="1:24" x14ac:dyDescent="0.55000000000000004">
      <c r="A37" s="32" t="s">
        <v>548</v>
      </c>
      <c r="B37" s="229" t="s">
        <v>3</v>
      </c>
      <c r="C37" s="24" t="s">
        <v>501</v>
      </c>
      <c r="D37" s="24" t="s">
        <v>73</v>
      </c>
      <c r="E37" s="57" t="s">
        <v>67</v>
      </c>
      <c r="F37" s="35" t="s">
        <v>291</v>
      </c>
      <c r="G37" s="56" t="s">
        <v>529</v>
      </c>
      <c r="H37" s="62" t="s">
        <v>79</v>
      </c>
      <c r="I37" s="63" t="s">
        <v>218</v>
      </c>
      <c r="J37" s="68" t="s">
        <v>528</v>
      </c>
      <c r="K37" s="64" t="s">
        <v>466</v>
      </c>
      <c r="L37" s="62" t="s">
        <v>88</v>
      </c>
      <c r="M37" s="64" t="s">
        <v>16</v>
      </c>
      <c r="N37" s="69" t="s">
        <v>291</v>
      </c>
      <c r="O37" s="66" t="s">
        <v>20</v>
      </c>
      <c r="Q37" s="62" t="s">
        <v>79</v>
      </c>
      <c r="R37" s="24" t="s">
        <v>931</v>
      </c>
      <c r="S37" s="24" t="s">
        <v>954</v>
      </c>
      <c r="T37" s="62" t="s">
        <v>88</v>
      </c>
      <c r="U37" s="24" t="s">
        <v>110</v>
      </c>
      <c r="V37" s="24" t="s">
        <v>975</v>
      </c>
      <c r="W37" s="61"/>
    </row>
    <row r="38" spans="1:24" x14ac:dyDescent="0.55000000000000004">
      <c r="A38" s="32" t="s">
        <v>443</v>
      </c>
      <c r="B38" s="47">
        <v>3</v>
      </c>
      <c r="C38" s="29" t="s">
        <v>73</v>
      </c>
      <c r="D38" s="210" t="s">
        <v>282</v>
      </c>
      <c r="E38" s="57" t="s">
        <v>68</v>
      </c>
      <c r="F38" s="29" t="s">
        <v>529</v>
      </c>
      <c r="G38" s="56" t="s">
        <v>530</v>
      </c>
      <c r="H38" s="62" t="s">
        <v>80</v>
      </c>
      <c r="I38" s="63" t="s">
        <v>218</v>
      </c>
      <c r="J38" s="69" t="s">
        <v>291</v>
      </c>
      <c r="K38" s="64" t="s">
        <v>466</v>
      </c>
      <c r="L38" s="62" t="s">
        <v>89</v>
      </c>
      <c r="M38" s="64" t="s">
        <v>16</v>
      </c>
      <c r="N38" s="68" t="s">
        <v>529</v>
      </c>
      <c r="O38" s="66" t="s">
        <v>20</v>
      </c>
      <c r="Q38" s="62" t="s">
        <v>80</v>
      </c>
      <c r="R38" s="24" t="s">
        <v>931</v>
      </c>
      <c r="S38" s="24" t="s">
        <v>956</v>
      </c>
      <c r="T38" s="62" t="s">
        <v>89</v>
      </c>
      <c r="U38" s="24" t="s">
        <v>110</v>
      </c>
      <c r="V38" s="24" t="s">
        <v>975</v>
      </c>
      <c r="W38" s="61"/>
    </row>
    <row r="39" spans="1:24" x14ac:dyDescent="0.55000000000000004">
      <c r="A39" s="32" t="s">
        <v>569</v>
      </c>
      <c r="B39" s="229" t="s">
        <v>2</v>
      </c>
      <c r="C39" s="29" t="s">
        <v>73</v>
      </c>
      <c r="D39" s="210" t="s">
        <v>1096</v>
      </c>
      <c r="E39" s="57" t="s">
        <v>69</v>
      </c>
      <c r="F39" s="29" t="s">
        <v>530</v>
      </c>
      <c r="G39" s="56" t="s">
        <v>531</v>
      </c>
      <c r="H39" s="62" t="s">
        <v>81</v>
      </c>
      <c r="I39" s="233" t="s">
        <v>218</v>
      </c>
      <c r="J39" s="68" t="s">
        <v>529</v>
      </c>
      <c r="K39" s="64" t="s">
        <v>466</v>
      </c>
      <c r="L39" s="62" t="s">
        <v>90</v>
      </c>
      <c r="M39" s="64" t="s">
        <v>16</v>
      </c>
      <c r="N39" s="68" t="s">
        <v>530</v>
      </c>
      <c r="O39" s="66" t="s">
        <v>20</v>
      </c>
      <c r="Q39" s="62" t="s">
        <v>81</v>
      </c>
      <c r="R39" s="24" t="s">
        <v>931</v>
      </c>
      <c r="S39" s="24" t="s">
        <v>955</v>
      </c>
      <c r="T39" s="62" t="s">
        <v>90</v>
      </c>
      <c r="U39" s="24" t="s">
        <v>110</v>
      </c>
      <c r="V39" s="24" t="s">
        <v>975</v>
      </c>
      <c r="W39" s="61"/>
    </row>
    <row r="40" spans="1:24" x14ac:dyDescent="0.55000000000000004">
      <c r="A40" s="32" t="s">
        <v>550</v>
      </c>
      <c r="B40" s="229" t="s">
        <v>1</v>
      </c>
      <c r="C40" s="211" t="s">
        <v>1096</v>
      </c>
      <c r="D40" s="56" t="s">
        <v>282</v>
      </c>
      <c r="E40" s="57" t="s">
        <v>70</v>
      </c>
      <c r="F40" s="29" t="s">
        <v>531</v>
      </c>
      <c r="G40" s="67" t="s">
        <v>532</v>
      </c>
      <c r="H40" s="62" t="s">
        <v>82</v>
      </c>
      <c r="I40" s="63" t="s">
        <v>218</v>
      </c>
      <c r="J40" s="68" t="s">
        <v>530</v>
      </c>
      <c r="K40" s="64" t="s">
        <v>466</v>
      </c>
      <c r="L40" s="62" t="s">
        <v>91</v>
      </c>
      <c r="M40" s="64" t="s">
        <v>16</v>
      </c>
      <c r="N40" s="68" t="s">
        <v>531</v>
      </c>
      <c r="O40" s="66" t="s">
        <v>20</v>
      </c>
      <c r="Q40" s="62" t="s">
        <v>82</v>
      </c>
      <c r="R40" s="24" t="s">
        <v>931</v>
      </c>
      <c r="S40" s="24" t="s">
        <v>957</v>
      </c>
      <c r="T40" s="62" t="s">
        <v>91</v>
      </c>
      <c r="U40" s="24" t="s">
        <v>110</v>
      </c>
      <c r="V40" s="24" t="s">
        <v>975</v>
      </c>
      <c r="W40" s="61"/>
    </row>
    <row r="41" spans="1:24" x14ac:dyDescent="0.55000000000000004">
      <c r="A41" s="32" t="s">
        <v>599</v>
      </c>
      <c r="B41" s="47">
        <v>4</v>
      </c>
      <c r="C41" s="24" t="s">
        <v>282</v>
      </c>
      <c r="D41" s="24" t="s">
        <v>21</v>
      </c>
      <c r="E41" s="57" t="s">
        <v>71</v>
      </c>
      <c r="F41" s="35" t="s">
        <v>532</v>
      </c>
      <c r="G41" s="67" t="s">
        <v>533</v>
      </c>
      <c r="H41" s="62" t="s">
        <v>83</v>
      </c>
      <c r="I41" s="63" t="s">
        <v>218</v>
      </c>
      <c r="J41" s="68" t="s">
        <v>531</v>
      </c>
      <c r="K41" s="64" t="s">
        <v>466</v>
      </c>
      <c r="L41" s="62" t="s">
        <v>92</v>
      </c>
      <c r="M41" s="64" t="s">
        <v>16</v>
      </c>
      <c r="N41" s="69" t="s">
        <v>532</v>
      </c>
      <c r="O41" s="66" t="s">
        <v>20</v>
      </c>
      <c r="Q41" s="62" t="s">
        <v>83</v>
      </c>
      <c r="R41" s="24" t="s">
        <v>931</v>
      </c>
      <c r="S41" s="24" t="s">
        <v>958</v>
      </c>
      <c r="T41" s="62" t="s">
        <v>92</v>
      </c>
      <c r="U41" s="24" t="s">
        <v>110</v>
      </c>
      <c r="V41" s="24" t="s">
        <v>975</v>
      </c>
      <c r="W41" s="61"/>
    </row>
    <row r="42" spans="1:24" x14ac:dyDescent="0.55000000000000004">
      <c r="A42" s="32" t="s">
        <v>600</v>
      </c>
      <c r="B42" s="229" t="s">
        <v>23</v>
      </c>
      <c r="C42" s="29" t="s">
        <v>282</v>
      </c>
      <c r="D42" s="56" t="s">
        <v>291</v>
      </c>
      <c r="E42" s="227" t="s">
        <v>1239</v>
      </c>
      <c r="F42" s="35" t="s">
        <v>533</v>
      </c>
      <c r="G42" s="210" t="s">
        <v>537</v>
      </c>
      <c r="H42" s="62" t="s">
        <v>84</v>
      </c>
      <c r="I42" s="63" t="s">
        <v>218</v>
      </c>
      <c r="J42" s="71" t="s">
        <v>532</v>
      </c>
      <c r="K42" s="64" t="s">
        <v>466</v>
      </c>
      <c r="L42" s="62" t="s">
        <v>93</v>
      </c>
      <c r="M42" s="64" t="s">
        <v>16</v>
      </c>
      <c r="N42" s="69" t="s">
        <v>533</v>
      </c>
      <c r="O42" s="66" t="s">
        <v>20</v>
      </c>
      <c r="Q42" s="62" t="s">
        <v>84</v>
      </c>
      <c r="R42" s="24" t="s">
        <v>931</v>
      </c>
      <c r="S42" s="24" t="s">
        <v>959</v>
      </c>
      <c r="T42" s="62" t="s">
        <v>93</v>
      </c>
      <c r="U42" s="24" t="s">
        <v>110</v>
      </c>
      <c r="V42" s="24" t="s">
        <v>975</v>
      </c>
      <c r="W42" s="61"/>
    </row>
    <row r="43" spans="1:24" x14ac:dyDescent="0.55000000000000004">
      <c r="A43" s="32" t="s">
        <v>601</v>
      </c>
      <c r="B43" s="229" t="s">
        <v>22</v>
      </c>
      <c r="C43" s="35" t="s">
        <v>291</v>
      </c>
      <c r="D43" s="67" t="s">
        <v>231</v>
      </c>
      <c r="E43" s="227" t="s">
        <v>1240</v>
      </c>
      <c r="F43" s="228" t="s">
        <v>537</v>
      </c>
      <c r="G43" s="49" t="s">
        <v>16</v>
      </c>
      <c r="H43" s="62" t="s">
        <v>85</v>
      </c>
      <c r="I43" s="63" t="s">
        <v>218</v>
      </c>
      <c r="J43" s="69" t="s">
        <v>533</v>
      </c>
      <c r="K43" s="64" t="s">
        <v>466</v>
      </c>
      <c r="L43" s="72" t="s">
        <v>857</v>
      </c>
      <c r="M43" s="73" t="s">
        <v>16</v>
      </c>
      <c r="N43" s="74" t="s">
        <v>537</v>
      </c>
      <c r="O43" s="46" t="s">
        <v>20</v>
      </c>
      <c r="Q43" s="62" t="s">
        <v>85</v>
      </c>
      <c r="R43" s="24" t="s">
        <v>931</v>
      </c>
      <c r="S43" s="24" t="s">
        <v>960</v>
      </c>
      <c r="T43" s="72" t="s">
        <v>857</v>
      </c>
      <c r="U43" s="24" t="s">
        <v>110</v>
      </c>
      <c r="V43" s="24" t="s">
        <v>975</v>
      </c>
      <c r="W43" s="61"/>
    </row>
    <row r="44" spans="1:24" x14ac:dyDescent="0.55000000000000004">
      <c r="A44" s="32" t="s">
        <v>602</v>
      </c>
      <c r="B44" s="229" t="s">
        <v>438</v>
      </c>
      <c r="C44" s="29" t="s">
        <v>231</v>
      </c>
      <c r="D44" s="56" t="s">
        <v>21</v>
      </c>
      <c r="E44" s="57" t="s">
        <v>284</v>
      </c>
      <c r="F44" s="49" t="s">
        <v>16</v>
      </c>
      <c r="G44" s="70" t="s">
        <v>20</v>
      </c>
      <c r="H44" s="72" t="s">
        <v>854</v>
      </c>
      <c r="I44" s="45" t="s">
        <v>218</v>
      </c>
      <c r="J44" s="74" t="s">
        <v>537</v>
      </c>
      <c r="K44" s="73" t="s">
        <v>466</v>
      </c>
      <c r="L44" s="72" t="s">
        <v>858</v>
      </c>
      <c r="M44" s="73" t="s">
        <v>16</v>
      </c>
      <c r="N44" s="74" t="s">
        <v>75</v>
      </c>
      <c r="O44" s="46" t="s">
        <v>20</v>
      </c>
      <c r="Q44" s="72" t="s">
        <v>854</v>
      </c>
      <c r="R44" s="24" t="s">
        <v>931</v>
      </c>
      <c r="S44" s="24" t="s">
        <v>961</v>
      </c>
      <c r="T44" s="72" t="s">
        <v>858</v>
      </c>
      <c r="U44" s="24" t="s">
        <v>110</v>
      </c>
      <c r="V44" s="24" t="s">
        <v>975</v>
      </c>
      <c r="W44" s="61"/>
    </row>
    <row r="45" spans="1:24" x14ac:dyDescent="0.55000000000000004">
      <c r="A45" s="32" t="s">
        <v>447</v>
      </c>
      <c r="B45" s="47">
        <v>5</v>
      </c>
      <c r="C45" s="29" t="s">
        <v>21</v>
      </c>
      <c r="D45" s="56" t="s">
        <v>16</v>
      </c>
      <c r="E45" s="75">
        <v>7</v>
      </c>
      <c r="F45" s="76" t="s">
        <v>20</v>
      </c>
      <c r="G45" s="77" t="s">
        <v>19</v>
      </c>
      <c r="H45" s="72" t="s">
        <v>855</v>
      </c>
      <c r="I45" s="45" t="s">
        <v>218</v>
      </c>
      <c r="J45" s="74" t="s">
        <v>75</v>
      </c>
      <c r="K45" s="73" t="s">
        <v>466</v>
      </c>
      <c r="L45" s="72" t="s">
        <v>859</v>
      </c>
      <c r="M45" s="73" t="s">
        <v>16</v>
      </c>
      <c r="N45" s="74" t="s">
        <v>538</v>
      </c>
      <c r="O45" s="46" t="s">
        <v>20</v>
      </c>
      <c r="Q45" s="72" t="s">
        <v>855</v>
      </c>
      <c r="R45" s="24" t="s">
        <v>931</v>
      </c>
      <c r="S45" s="24" t="s">
        <v>962</v>
      </c>
      <c r="T45" s="72" t="s">
        <v>859</v>
      </c>
      <c r="U45" s="24" t="s">
        <v>110</v>
      </c>
      <c r="V45" s="24" t="s">
        <v>975</v>
      </c>
      <c r="W45" s="61"/>
    </row>
    <row r="46" spans="1:24" x14ac:dyDescent="0.55000000000000004">
      <c r="A46" s="32" t="s">
        <v>401</v>
      </c>
      <c r="B46" s="47">
        <v>6</v>
      </c>
      <c r="C46" s="29" t="s">
        <v>16</v>
      </c>
      <c r="D46" s="56" t="s">
        <v>20</v>
      </c>
      <c r="E46" s="78">
        <v>8</v>
      </c>
      <c r="F46" s="76" t="s">
        <v>19</v>
      </c>
      <c r="G46" s="77" t="s">
        <v>72</v>
      </c>
      <c r="H46" s="72" t="s">
        <v>856</v>
      </c>
      <c r="I46" s="45" t="s">
        <v>218</v>
      </c>
      <c r="J46" s="74" t="s">
        <v>538</v>
      </c>
      <c r="K46" s="73" t="s">
        <v>466</v>
      </c>
      <c r="L46" s="62" t="s">
        <v>94</v>
      </c>
      <c r="M46" s="64" t="s">
        <v>16</v>
      </c>
      <c r="N46" s="64" t="s">
        <v>16</v>
      </c>
      <c r="O46" s="66" t="s">
        <v>20</v>
      </c>
      <c r="Q46" s="72" t="s">
        <v>856</v>
      </c>
      <c r="R46" s="24" t="s">
        <v>931</v>
      </c>
      <c r="S46" s="24" t="s">
        <v>963</v>
      </c>
      <c r="T46" s="62" t="s">
        <v>94</v>
      </c>
      <c r="U46" s="24" t="s">
        <v>110</v>
      </c>
      <c r="V46" s="24" t="s">
        <v>975</v>
      </c>
      <c r="W46" s="61"/>
    </row>
    <row r="47" spans="1:24" x14ac:dyDescent="0.55000000000000004">
      <c r="A47" s="32" t="s">
        <v>1035</v>
      </c>
      <c r="B47" s="229">
        <v>56</v>
      </c>
      <c r="C47" s="29" t="s">
        <v>21</v>
      </c>
      <c r="D47" s="56" t="s">
        <v>20</v>
      </c>
      <c r="E47" s="78" t="s">
        <v>439</v>
      </c>
      <c r="F47" s="76" t="s">
        <v>72</v>
      </c>
      <c r="G47" s="79" t="s">
        <v>468</v>
      </c>
      <c r="R47" s="32" t="s">
        <v>930</v>
      </c>
      <c r="S47" s="32" t="s">
        <v>929</v>
      </c>
      <c r="T47" s="32"/>
      <c r="U47" s="32" t="s">
        <v>929</v>
      </c>
      <c r="V47" s="32" t="s">
        <v>930</v>
      </c>
      <c r="W47" s="61"/>
    </row>
    <row r="48" spans="1:24" x14ac:dyDescent="0.55000000000000004">
      <c r="A48" s="32" t="s">
        <v>448</v>
      </c>
      <c r="B48" s="47">
        <v>7</v>
      </c>
      <c r="C48" s="29" t="s">
        <v>20</v>
      </c>
      <c r="D48" s="56" t="s">
        <v>19</v>
      </c>
      <c r="E48" s="78" t="s">
        <v>440</v>
      </c>
      <c r="F48" s="80" t="s">
        <v>468</v>
      </c>
      <c r="G48" s="79" t="s">
        <v>467</v>
      </c>
      <c r="H48" s="63"/>
      <c r="I48" s="45" t="s">
        <v>274</v>
      </c>
      <c r="K48" s="46" t="s">
        <v>279</v>
      </c>
      <c r="M48" s="45" t="s">
        <v>280</v>
      </c>
      <c r="O48" s="46" t="s">
        <v>276</v>
      </c>
      <c r="Q48" s="62" t="s">
        <v>875</v>
      </c>
      <c r="R48" s="24" t="s">
        <v>932</v>
      </c>
      <c r="S48" s="24" t="s">
        <v>946</v>
      </c>
      <c r="T48" s="62" t="s">
        <v>877</v>
      </c>
      <c r="U48" s="24" t="s">
        <v>942</v>
      </c>
      <c r="V48" s="24" t="s">
        <v>945</v>
      </c>
      <c r="W48" s="61"/>
    </row>
    <row r="49" spans="1:23" x14ac:dyDescent="0.55000000000000004">
      <c r="A49" s="32" t="s">
        <v>449</v>
      </c>
      <c r="B49" s="47">
        <v>8</v>
      </c>
      <c r="C49" s="29" t="s">
        <v>19</v>
      </c>
      <c r="D49" s="56" t="s">
        <v>72</v>
      </c>
      <c r="E49" s="78" t="s">
        <v>441</v>
      </c>
      <c r="F49" s="81" t="s">
        <v>467</v>
      </c>
      <c r="G49" s="77" t="s">
        <v>218</v>
      </c>
      <c r="H49" s="82"/>
      <c r="I49" s="83" t="s">
        <v>116</v>
      </c>
      <c r="J49" s="83" t="s">
        <v>125</v>
      </c>
      <c r="K49" s="84" t="s">
        <v>117</v>
      </c>
      <c r="L49" s="85"/>
      <c r="M49" s="83" t="s">
        <v>116</v>
      </c>
      <c r="N49" s="83" t="s">
        <v>124</v>
      </c>
      <c r="O49" s="84" t="s">
        <v>117</v>
      </c>
      <c r="Q49" s="62" t="s">
        <v>876</v>
      </c>
      <c r="R49" s="24" t="s">
        <v>932</v>
      </c>
      <c r="S49" s="24" t="s">
        <v>947</v>
      </c>
      <c r="T49" s="62" t="s">
        <v>880</v>
      </c>
      <c r="U49" s="24" t="s">
        <v>948</v>
      </c>
      <c r="V49" s="24" t="s">
        <v>945</v>
      </c>
      <c r="W49" s="61"/>
    </row>
    <row r="50" spans="1:23" x14ac:dyDescent="0.55000000000000004">
      <c r="A50" s="32" t="s">
        <v>454</v>
      </c>
      <c r="B50" s="47">
        <v>9</v>
      </c>
      <c r="C50" s="24" t="s">
        <v>72</v>
      </c>
      <c r="D50" s="56" t="s">
        <v>218</v>
      </c>
      <c r="E50" s="86"/>
      <c r="F50" s="87"/>
      <c r="G50" s="88"/>
      <c r="H50" s="62"/>
      <c r="I50" s="63" t="s">
        <v>557</v>
      </c>
      <c r="J50" s="63" t="s">
        <v>557</v>
      </c>
      <c r="K50" s="63" t="s">
        <v>557</v>
      </c>
      <c r="L50" s="62" t="s">
        <v>103</v>
      </c>
      <c r="M50" s="64" t="s">
        <v>21</v>
      </c>
      <c r="N50" s="65" t="s">
        <v>1006</v>
      </c>
      <c r="O50" s="89" t="s">
        <v>20</v>
      </c>
      <c r="Q50" s="62" t="s">
        <v>879</v>
      </c>
      <c r="R50" s="24" t="s">
        <v>932</v>
      </c>
      <c r="S50" s="24" t="s">
        <v>949</v>
      </c>
      <c r="T50" s="62" t="s">
        <v>933</v>
      </c>
      <c r="U50" s="24" t="s">
        <v>950</v>
      </c>
      <c r="V50" s="24" t="s">
        <v>945</v>
      </c>
      <c r="W50" s="61"/>
    </row>
    <row r="51" spans="1:23" x14ac:dyDescent="0.55000000000000004">
      <c r="A51" s="32" t="s">
        <v>450</v>
      </c>
      <c r="B51" s="229" t="s">
        <v>439</v>
      </c>
      <c r="C51" s="29" t="s">
        <v>72</v>
      </c>
      <c r="D51" s="90" t="s">
        <v>1095</v>
      </c>
      <c r="E51" s="86" t="s">
        <v>534</v>
      </c>
      <c r="F51" s="91" t="s">
        <v>537</v>
      </c>
      <c r="G51" s="88" t="s">
        <v>75</v>
      </c>
      <c r="H51" s="62" t="s">
        <v>95</v>
      </c>
      <c r="I51" s="63" t="s">
        <v>218</v>
      </c>
      <c r="J51" s="65" t="s">
        <v>1006</v>
      </c>
      <c r="K51" s="92" t="s">
        <v>73</v>
      </c>
      <c r="L51" s="62" t="s">
        <v>104</v>
      </c>
      <c r="M51" s="64" t="s">
        <v>21</v>
      </c>
      <c r="N51" s="68" t="s">
        <v>528</v>
      </c>
      <c r="O51" s="66" t="s">
        <v>20</v>
      </c>
      <c r="Q51" s="62" t="s">
        <v>920</v>
      </c>
      <c r="R51" s="24" t="s">
        <v>932</v>
      </c>
      <c r="S51" s="24" t="s">
        <v>951</v>
      </c>
      <c r="T51" s="62" t="s">
        <v>934</v>
      </c>
      <c r="U51" s="24" t="s">
        <v>943</v>
      </c>
      <c r="V51" s="24" t="s">
        <v>945</v>
      </c>
      <c r="W51" s="61"/>
    </row>
    <row r="52" spans="1:23" x14ac:dyDescent="0.55000000000000004">
      <c r="A52" s="32" t="s">
        <v>451</v>
      </c>
      <c r="B52" s="229" t="s">
        <v>440</v>
      </c>
      <c r="C52" s="93" t="s">
        <v>1095</v>
      </c>
      <c r="D52" s="90" t="s">
        <v>467</v>
      </c>
      <c r="E52" s="86" t="s">
        <v>535</v>
      </c>
      <c r="F52" s="91" t="s">
        <v>75</v>
      </c>
      <c r="G52" s="94" t="s">
        <v>538</v>
      </c>
      <c r="H52" s="62" t="s">
        <v>96</v>
      </c>
      <c r="I52" s="63" t="s">
        <v>218</v>
      </c>
      <c r="J52" s="68" t="s">
        <v>528</v>
      </c>
      <c r="K52" s="92" t="s">
        <v>73</v>
      </c>
      <c r="L52" s="62" t="s">
        <v>105</v>
      </c>
      <c r="M52" s="64" t="s">
        <v>21</v>
      </c>
      <c r="N52" s="69" t="s">
        <v>291</v>
      </c>
      <c r="O52" s="66" t="s">
        <v>20</v>
      </c>
      <c r="Q52" s="62" t="s">
        <v>921</v>
      </c>
      <c r="R52" s="24" t="s">
        <v>932</v>
      </c>
      <c r="S52" s="24" t="s">
        <v>976</v>
      </c>
      <c r="T52" s="62" t="s">
        <v>935</v>
      </c>
      <c r="U52" s="24" t="s">
        <v>977</v>
      </c>
      <c r="V52" s="24" t="s">
        <v>945</v>
      </c>
      <c r="W52" s="61"/>
    </row>
    <row r="53" spans="1:23" x14ac:dyDescent="0.55000000000000004">
      <c r="A53" s="32" t="s">
        <v>452</v>
      </c>
      <c r="B53" s="229" t="s">
        <v>441</v>
      </c>
      <c r="C53" s="95" t="s">
        <v>467</v>
      </c>
      <c r="D53" s="56" t="s">
        <v>218</v>
      </c>
      <c r="E53" s="86" t="s">
        <v>536</v>
      </c>
      <c r="F53" s="96" t="s">
        <v>538</v>
      </c>
      <c r="G53" s="97" t="s">
        <v>16</v>
      </c>
      <c r="H53" s="62" t="s">
        <v>97</v>
      </c>
      <c r="I53" s="63" t="s">
        <v>218</v>
      </c>
      <c r="J53" s="69" t="s">
        <v>291</v>
      </c>
      <c r="K53" s="92" t="s">
        <v>73</v>
      </c>
      <c r="L53" s="62" t="s">
        <v>106</v>
      </c>
      <c r="M53" s="64" t="s">
        <v>21</v>
      </c>
      <c r="N53" s="68" t="s">
        <v>529</v>
      </c>
      <c r="O53" s="66" t="s">
        <v>20</v>
      </c>
      <c r="Q53" s="62" t="s">
        <v>922</v>
      </c>
      <c r="R53" s="24" t="s">
        <v>932</v>
      </c>
      <c r="S53" s="24" t="s">
        <v>978</v>
      </c>
      <c r="T53" s="62" t="s">
        <v>936</v>
      </c>
      <c r="U53" s="24" t="s">
        <v>979</v>
      </c>
      <c r="V53" s="24" t="s">
        <v>945</v>
      </c>
      <c r="W53" s="61"/>
    </row>
    <row r="54" spans="1:23" x14ac:dyDescent="0.55000000000000004">
      <c r="C54" s="40"/>
      <c r="D54" s="56"/>
      <c r="E54" s="86"/>
      <c r="F54" s="96"/>
      <c r="G54" s="97"/>
      <c r="H54" s="62" t="s">
        <v>98</v>
      </c>
      <c r="I54" s="63" t="s">
        <v>218</v>
      </c>
      <c r="J54" s="68" t="s">
        <v>529</v>
      </c>
      <c r="K54" s="92" t="s">
        <v>73</v>
      </c>
      <c r="L54" s="62" t="s">
        <v>107</v>
      </c>
      <c r="M54" s="64" t="s">
        <v>21</v>
      </c>
      <c r="N54" s="68" t="s">
        <v>530</v>
      </c>
      <c r="O54" s="66" t="s">
        <v>20</v>
      </c>
      <c r="Q54" s="62" t="s">
        <v>923</v>
      </c>
      <c r="R54" s="24" t="s">
        <v>932</v>
      </c>
      <c r="S54" s="24" t="s">
        <v>980</v>
      </c>
      <c r="T54" s="62" t="s">
        <v>937</v>
      </c>
      <c r="V54" s="24" t="s">
        <v>945</v>
      </c>
      <c r="W54" s="61"/>
    </row>
    <row r="55" spans="1:23" x14ac:dyDescent="0.55000000000000004">
      <c r="D55" s="56"/>
      <c r="G55" s="61"/>
      <c r="H55" s="62" t="s">
        <v>99</v>
      </c>
      <c r="I55" s="63" t="s">
        <v>218</v>
      </c>
      <c r="J55" s="68" t="s">
        <v>530</v>
      </c>
      <c r="K55" s="92" t="s">
        <v>73</v>
      </c>
      <c r="L55" s="62" t="s">
        <v>108</v>
      </c>
      <c r="M55" s="64" t="s">
        <v>21</v>
      </c>
      <c r="N55" s="68" t="s">
        <v>531</v>
      </c>
      <c r="O55" s="66" t="s">
        <v>20</v>
      </c>
      <c r="Q55" s="62" t="s">
        <v>924</v>
      </c>
      <c r="R55" s="24" t="s">
        <v>932</v>
      </c>
      <c r="T55" s="62" t="s">
        <v>938</v>
      </c>
      <c r="V55" s="24" t="s">
        <v>945</v>
      </c>
      <c r="W55" s="61"/>
    </row>
    <row r="56" spans="1:23" x14ac:dyDescent="0.55000000000000004">
      <c r="H56" s="62" t="s">
        <v>100</v>
      </c>
      <c r="I56" s="63" t="s">
        <v>218</v>
      </c>
      <c r="J56" s="68" t="s">
        <v>531</v>
      </c>
      <c r="K56" s="92" t="s">
        <v>73</v>
      </c>
      <c r="L56" s="62" t="s">
        <v>109</v>
      </c>
      <c r="M56" s="64" t="s">
        <v>21</v>
      </c>
      <c r="N56" s="69" t="s">
        <v>532</v>
      </c>
      <c r="O56" s="66" t="s">
        <v>20</v>
      </c>
      <c r="Q56" s="62" t="s">
        <v>925</v>
      </c>
      <c r="R56" s="24" t="s">
        <v>932</v>
      </c>
      <c r="T56" s="62" t="s">
        <v>939</v>
      </c>
      <c r="V56" s="24" t="s">
        <v>945</v>
      </c>
      <c r="W56" s="61"/>
    </row>
    <row r="57" spans="1:23" x14ac:dyDescent="0.55000000000000004">
      <c r="B57" s="32"/>
      <c r="C57" s="41" t="s">
        <v>455</v>
      </c>
      <c r="D57" s="98"/>
      <c r="E57" s="99" t="s">
        <v>456</v>
      </c>
      <c r="H57" s="62" t="s">
        <v>101</v>
      </c>
      <c r="I57" s="63" t="s">
        <v>218</v>
      </c>
      <c r="J57" s="69" t="s">
        <v>532</v>
      </c>
      <c r="K57" s="92" t="s">
        <v>73</v>
      </c>
      <c r="L57" s="62" t="s">
        <v>278</v>
      </c>
      <c r="M57" s="64" t="s">
        <v>21</v>
      </c>
      <c r="N57" s="69" t="s">
        <v>533</v>
      </c>
      <c r="O57" s="66" t="s">
        <v>20</v>
      </c>
      <c r="Q57" s="72" t="s">
        <v>926</v>
      </c>
      <c r="R57" s="24" t="s">
        <v>932</v>
      </c>
      <c r="T57" s="72" t="s">
        <v>940</v>
      </c>
      <c r="V57" s="24" t="s">
        <v>945</v>
      </c>
      <c r="W57" s="61"/>
    </row>
    <row r="58" spans="1:23" x14ac:dyDescent="0.55000000000000004">
      <c r="A58" s="32" t="s">
        <v>400</v>
      </c>
      <c r="B58" s="47">
        <v>1</v>
      </c>
      <c r="C58" s="29" t="s">
        <v>1202</v>
      </c>
      <c r="D58" s="100"/>
      <c r="E58" s="24" t="s">
        <v>1217</v>
      </c>
      <c r="H58" s="62" t="s">
        <v>102</v>
      </c>
      <c r="I58" s="63" t="s">
        <v>218</v>
      </c>
      <c r="J58" s="69" t="s">
        <v>533</v>
      </c>
      <c r="K58" s="92" t="s">
        <v>73</v>
      </c>
      <c r="L58" s="62" t="s">
        <v>865</v>
      </c>
      <c r="M58" s="64" t="s">
        <v>21</v>
      </c>
      <c r="N58" s="74" t="s">
        <v>537</v>
      </c>
      <c r="O58" s="66" t="s">
        <v>20</v>
      </c>
      <c r="Q58" s="72" t="s">
        <v>927</v>
      </c>
      <c r="R58" s="24" t="s">
        <v>932</v>
      </c>
      <c r="T58" s="72" t="s">
        <v>941</v>
      </c>
      <c r="V58" s="24" t="s">
        <v>945</v>
      </c>
      <c r="W58" s="61"/>
    </row>
    <row r="59" spans="1:23" x14ac:dyDescent="0.55000000000000004">
      <c r="A59" s="32" t="s">
        <v>442</v>
      </c>
      <c r="B59" s="47">
        <v>2</v>
      </c>
      <c r="C59" s="211" t="s">
        <v>1203</v>
      </c>
      <c r="D59" s="100"/>
      <c r="E59" s="24" t="s">
        <v>1218</v>
      </c>
      <c r="H59" s="72" t="s">
        <v>862</v>
      </c>
      <c r="I59" s="45" t="s">
        <v>218</v>
      </c>
      <c r="J59" s="74" t="s">
        <v>537</v>
      </c>
      <c r="K59" s="101" t="s">
        <v>73</v>
      </c>
      <c r="L59" s="62" t="s">
        <v>866</v>
      </c>
      <c r="M59" s="64" t="s">
        <v>21</v>
      </c>
      <c r="N59" s="74" t="s">
        <v>75</v>
      </c>
      <c r="O59" s="66" t="s">
        <v>20</v>
      </c>
      <c r="Q59" s="72" t="s">
        <v>928</v>
      </c>
      <c r="R59" s="24" t="s">
        <v>932</v>
      </c>
      <c r="T59" s="62" t="s">
        <v>878</v>
      </c>
      <c r="U59" s="24" t="s">
        <v>944</v>
      </c>
      <c r="V59" s="24" t="s">
        <v>945</v>
      </c>
      <c r="W59" s="61"/>
    </row>
    <row r="60" spans="1:23" x14ac:dyDescent="0.55000000000000004">
      <c r="A60" s="32" t="s">
        <v>547</v>
      </c>
      <c r="B60" s="47" t="s">
        <v>4</v>
      </c>
      <c r="C60" s="29" t="s">
        <v>1203</v>
      </c>
      <c r="D60" s="100"/>
      <c r="E60" s="24" t="s">
        <v>1219</v>
      </c>
      <c r="H60" s="72" t="s">
        <v>863</v>
      </c>
      <c r="I60" s="45" t="s">
        <v>218</v>
      </c>
      <c r="J60" s="74" t="s">
        <v>75</v>
      </c>
      <c r="K60" s="101" t="s">
        <v>73</v>
      </c>
      <c r="L60" s="62" t="s">
        <v>867</v>
      </c>
      <c r="M60" s="64" t="s">
        <v>21</v>
      </c>
      <c r="N60" s="74" t="s">
        <v>538</v>
      </c>
      <c r="O60" s="66" t="s">
        <v>20</v>
      </c>
    </row>
    <row r="61" spans="1:23" x14ac:dyDescent="0.55000000000000004">
      <c r="A61" s="32" t="s">
        <v>548</v>
      </c>
      <c r="B61" s="47" t="s">
        <v>3</v>
      </c>
      <c r="C61" s="29" t="s">
        <v>1204</v>
      </c>
      <c r="D61" s="100"/>
      <c r="E61" s="24" t="s">
        <v>1218</v>
      </c>
      <c r="H61" s="72" t="s">
        <v>864</v>
      </c>
      <c r="I61" s="45" t="s">
        <v>218</v>
      </c>
      <c r="J61" s="74" t="s">
        <v>538</v>
      </c>
      <c r="K61" s="101" t="s">
        <v>73</v>
      </c>
      <c r="L61" s="62"/>
      <c r="M61" s="102" t="s">
        <v>557</v>
      </c>
      <c r="N61" s="103" t="s">
        <v>557</v>
      </c>
      <c r="O61" s="66" t="s">
        <v>557</v>
      </c>
    </row>
    <row r="62" spans="1:23" x14ac:dyDescent="0.55000000000000004">
      <c r="A62" s="32" t="s">
        <v>443</v>
      </c>
      <c r="B62" s="47">
        <v>3</v>
      </c>
      <c r="C62" s="29" t="s">
        <v>1205</v>
      </c>
      <c r="D62" s="100"/>
      <c r="E62" s="24" t="s">
        <v>1220</v>
      </c>
    </row>
    <row r="63" spans="1:23" x14ac:dyDescent="0.55000000000000004">
      <c r="A63" s="32" t="s">
        <v>569</v>
      </c>
      <c r="B63" s="47" t="s">
        <v>2</v>
      </c>
      <c r="C63" s="29" t="s">
        <v>1205</v>
      </c>
      <c r="D63" s="100"/>
      <c r="E63" s="215" t="s">
        <v>1221</v>
      </c>
      <c r="J63" s="215" t="s">
        <v>1302</v>
      </c>
    </row>
    <row r="64" spans="1:23" x14ac:dyDescent="0.55000000000000004">
      <c r="A64" s="32" t="s">
        <v>550</v>
      </c>
      <c r="B64" s="47" t="s">
        <v>1</v>
      </c>
      <c r="C64" s="211" t="s">
        <v>1206</v>
      </c>
      <c r="D64" s="100"/>
      <c r="E64" s="24" t="s">
        <v>1220</v>
      </c>
      <c r="J64" s="24" t="s">
        <v>1371</v>
      </c>
    </row>
    <row r="65" spans="1:10" x14ac:dyDescent="0.55000000000000004">
      <c r="A65" s="32" t="s">
        <v>453</v>
      </c>
      <c r="B65" s="47">
        <v>4</v>
      </c>
      <c r="C65" s="211" t="s">
        <v>1207</v>
      </c>
      <c r="D65" s="100"/>
      <c r="E65" s="24" t="s">
        <v>1222</v>
      </c>
      <c r="J65" s="24" t="s">
        <v>1372</v>
      </c>
    </row>
    <row r="66" spans="1:10" x14ac:dyDescent="0.55000000000000004">
      <c r="A66" s="32" t="s">
        <v>444</v>
      </c>
      <c r="B66" s="47" t="s">
        <v>23</v>
      </c>
      <c r="C66" s="29" t="s">
        <v>1207</v>
      </c>
      <c r="D66" s="100"/>
      <c r="E66" s="215" t="s">
        <v>1260</v>
      </c>
    </row>
    <row r="67" spans="1:10" x14ac:dyDescent="0.55000000000000004">
      <c r="A67" s="32" t="s">
        <v>445</v>
      </c>
      <c r="B67" s="47" t="s">
        <v>22</v>
      </c>
      <c r="C67" s="35" t="s">
        <v>1208</v>
      </c>
      <c r="D67" s="100"/>
      <c r="E67" s="24" t="s">
        <v>1223</v>
      </c>
    </row>
    <row r="68" spans="1:10" x14ac:dyDescent="0.55000000000000004">
      <c r="A68" s="32" t="s">
        <v>446</v>
      </c>
      <c r="B68" s="47" t="s">
        <v>438</v>
      </c>
      <c r="C68" s="29" t="s">
        <v>1209</v>
      </c>
      <c r="D68" s="100"/>
      <c r="E68" s="24" t="s">
        <v>1222</v>
      </c>
    </row>
    <row r="69" spans="1:10" x14ac:dyDescent="0.55000000000000004">
      <c r="A69" s="32" t="s">
        <v>447</v>
      </c>
      <c r="B69" s="47">
        <v>5</v>
      </c>
      <c r="C69" s="29" t="s">
        <v>1210</v>
      </c>
      <c r="D69" s="100"/>
      <c r="E69" s="24" t="s">
        <v>1224</v>
      </c>
    </row>
    <row r="70" spans="1:10" x14ac:dyDescent="0.55000000000000004">
      <c r="A70" s="32" t="s">
        <v>401</v>
      </c>
      <c r="B70" s="47">
        <v>6</v>
      </c>
      <c r="C70" s="29" t="s">
        <v>1211</v>
      </c>
      <c r="D70" s="100"/>
      <c r="E70" s="24" t="s">
        <v>1225</v>
      </c>
    </row>
    <row r="71" spans="1:10" x14ac:dyDescent="0.55000000000000004">
      <c r="A71" s="32" t="s">
        <v>448</v>
      </c>
      <c r="B71" s="47">
        <v>7</v>
      </c>
      <c r="C71" s="29" t="s">
        <v>1212</v>
      </c>
      <c r="D71" s="100"/>
      <c r="E71" s="24" t="s">
        <v>1226</v>
      </c>
    </row>
    <row r="72" spans="1:10" x14ac:dyDescent="0.55000000000000004">
      <c r="A72" s="32" t="s">
        <v>449</v>
      </c>
      <c r="B72" s="47">
        <v>8</v>
      </c>
      <c r="C72" s="29" t="s">
        <v>1213</v>
      </c>
      <c r="D72" s="100"/>
      <c r="E72" s="24" t="s">
        <v>1227</v>
      </c>
    </row>
    <row r="73" spans="1:10" x14ac:dyDescent="0.55000000000000004">
      <c r="A73" s="32" t="s">
        <v>454</v>
      </c>
      <c r="B73" s="47">
        <v>9</v>
      </c>
      <c r="C73" s="29" t="s">
        <v>1214</v>
      </c>
      <c r="D73" s="100"/>
      <c r="E73" s="215" t="s">
        <v>1228</v>
      </c>
    </row>
    <row r="74" spans="1:10" x14ac:dyDescent="0.55000000000000004">
      <c r="A74" s="32" t="s">
        <v>450</v>
      </c>
      <c r="B74" s="47" t="s">
        <v>439</v>
      </c>
      <c r="C74" s="29" t="s">
        <v>1214</v>
      </c>
      <c r="D74" s="100"/>
      <c r="E74" s="24" t="s">
        <v>1229</v>
      </c>
    </row>
    <row r="75" spans="1:10" x14ac:dyDescent="0.55000000000000004">
      <c r="A75" s="32" t="s">
        <v>451</v>
      </c>
      <c r="B75" s="47" t="s">
        <v>440</v>
      </c>
      <c r="C75" s="29" t="s">
        <v>1215</v>
      </c>
      <c r="D75" s="100"/>
      <c r="E75" s="24" t="s">
        <v>1230</v>
      </c>
    </row>
    <row r="76" spans="1:10" x14ac:dyDescent="0.55000000000000004">
      <c r="A76" s="32" t="s">
        <v>452</v>
      </c>
      <c r="B76" s="47" t="s">
        <v>441</v>
      </c>
      <c r="C76" s="35" t="s">
        <v>1216</v>
      </c>
      <c r="D76" s="100"/>
      <c r="E76" s="24" t="s">
        <v>1228</v>
      </c>
    </row>
    <row r="78" spans="1:10" x14ac:dyDescent="0.55000000000000004">
      <c r="B78" s="104" t="s">
        <v>847</v>
      </c>
      <c r="C78" s="24" t="s">
        <v>848</v>
      </c>
      <c r="E78" s="24" t="s">
        <v>849</v>
      </c>
    </row>
    <row r="79" spans="1:10" x14ac:dyDescent="0.55000000000000004">
      <c r="B79" s="104" t="s">
        <v>846</v>
      </c>
      <c r="C79" s="24" t="s">
        <v>851</v>
      </c>
      <c r="E79" s="24" t="s">
        <v>850</v>
      </c>
    </row>
    <row r="89" spans="3:3" x14ac:dyDescent="0.55000000000000004">
      <c r="C89" s="40"/>
    </row>
    <row r="90" spans="3:3" x14ac:dyDescent="0.55000000000000004">
      <c r="C90" s="40"/>
    </row>
    <row r="91" spans="3:3" x14ac:dyDescent="0.55000000000000004">
      <c r="C91" s="40"/>
    </row>
    <row r="92" spans="3:3" x14ac:dyDescent="0.55000000000000004">
      <c r="C92" s="40"/>
    </row>
    <row r="93" spans="3:3" x14ac:dyDescent="0.55000000000000004">
      <c r="C93" s="40"/>
    </row>
    <row r="94" spans="3:3" x14ac:dyDescent="0.55000000000000004">
      <c r="C94" s="40"/>
    </row>
    <row r="95" spans="3:3" x14ac:dyDescent="0.55000000000000004">
      <c r="C95" s="40"/>
    </row>
    <row r="96" spans="3:3" x14ac:dyDescent="0.55000000000000004">
      <c r="C96" s="40"/>
    </row>
    <row r="97" spans="3:3" x14ac:dyDescent="0.55000000000000004">
      <c r="C97" s="40"/>
    </row>
    <row r="98" spans="3:3" x14ac:dyDescent="0.55000000000000004">
      <c r="C98" s="40"/>
    </row>
    <row r="99" spans="3:3" x14ac:dyDescent="0.55000000000000004">
      <c r="C99" s="40"/>
    </row>
    <row r="100" spans="3:3" x14ac:dyDescent="0.55000000000000004">
      <c r="C100" s="40"/>
    </row>
    <row r="101" spans="3:3" x14ac:dyDescent="0.55000000000000004">
      <c r="C101" s="40"/>
    </row>
    <row r="102" spans="3:3" x14ac:dyDescent="0.55000000000000004">
      <c r="C102" s="40"/>
    </row>
    <row r="103" spans="3:3" x14ac:dyDescent="0.55000000000000004">
      <c r="C103" s="40"/>
    </row>
    <row r="104" spans="3:3" x14ac:dyDescent="0.55000000000000004">
      <c r="C104" s="40"/>
    </row>
  </sheetData>
  <mergeCells count="4">
    <mergeCell ref="A31:D31"/>
    <mergeCell ref="E31:G31"/>
    <mergeCell ref="Q33:W33"/>
    <mergeCell ref="H31:O31"/>
  </mergeCells>
  <pageMargins left="0.75" right="0.75" top="1" bottom="1" header="0.5" footer="0.5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theme="6" tint="-0.249977111117893"/>
  </sheetPr>
  <dimension ref="A1:F40"/>
  <sheetViews>
    <sheetView zoomScale="115" zoomScaleNormal="115" workbookViewId="0">
      <selection activeCell="I11" sqref="I11"/>
    </sheetView>
  </sheetViews>
  <sheetFormatPr defaultColWidth="8.89453125" defaultRowHeight="12.3" x14ac:dyDescent="0.55000000000000004"/>
  <cols>
    <col min="1" max="1" width="7.9453125" style="247" customWidth="1"/>
    <col min="2" max="2" width="11.9453125" style="247" customWidth="1"/>
    <col min="3" max="3" width="40.1015625" style="247" customWidth="1"/>
    <col min="4" max="4" width="32.734375" style="249" customWidth="1"/>
    <col min="5" max="5" width="27.62890625" style="247" customWidth="1"/>
    <col min="6" max="16384" width="8.89453125" style="247"/>
  </cols>
  <sheetData>
    <row r="1" spans="1:6" ht="14.4" x14ac:dyDescent="0.55000000000000004">
      <c r="A1" s="244" t="s">
        <v>216</v>
      </c>
      <c r="B1" s="244" t="s">
        <v>10</v>
      </c>
      <c r="C1" s="294" t="s">
        <v>1567</v>
      </c>
      <c r="D1" s="245" t="s">
        <v>1568</v>
      </c>
      <c r="E1" s="290" t="s">
        <v>1241</v>
      </c>
      <c r="F1" s="246" t="s">
        <v>1569</v>
      </c>
    </row>
    <row r="2" spans="1:6" ht="12.9" x14ac:dyDescent="0.5">
      <c r="A2" s="282"/>
      <c r="B2" s="282"/>
      <c r="C2" s="283"/>
      <c r="D2" s="287"/>
      <c r="E2" s="167"/>
      <c r="F2" s="286"/>
    </row>
    <row r="3" spans="1:6" ht="12.9" x14ac:dyDescent="0.55000000000000004">
      <c r="A3" s="282"/>
      <c r="B3" s="282"/>
      <c r="C3" s="283"/>
      <c r="D3" s="287"/>
      <c r="E3" s="291"/>
      <c r="F3" s="286"/>
    </row>
    <row r="4" spans="1:6" ht="12.9" x14ac:dyDescent="0.55000000000000004">
      <c r="A4" s="282"/>
      <c r="B4" s="282"/>
      <c r="C4" s="283"/>
      <c r="D4" s="287"/>
      <c r="E4" s="291"/>
      <c r="F4" s="286"/>
    </row>
    <row r="5" spans="1:6" ht="12.9" x14ac:dyDescent="0.55000000000000004">
      <c r="A5" s="282"/>
      <c r="B5" s="282"/>
      <c r="C5" s="283"/>
      <c r="D5" s="287"/>
      <c r="E5" s="291"/>
      <c r="F5" s="286"/>
    </row>
    <row r="6" spans="1:6" ht="12.9" x14ac:dyDescent="0.55000000000000004">
      <c r="A6" s="282"/>
      <c r="B6" s="282"/>
      <c r="C6" s="283"/>
      <c r="D6" s="287"/>
      <c r="E6" s="291"/>
      <c r="F6" s="286"/>
    </row>
    <row r="7" spans="1:6" ht="12.9" x14ac:dyDescent="0.55000000000000004">
      <c r="A7" s="282"/>
      <c r="B7" s="282"/>
      <c r="C7" s="283"/>
      <c r="D7" s="287"/>
      <c r="E7" s="291"/>
      <c r="F7" s="286"/>
    </row>
    <row r="8" spans="1:6" ht="12.9" x14ac:dyDescent="0.5">
      <c r="A8" s="282"/>
      <c r="B8" s="282"/>
      <c r="C8" s="283"/>
      <c r="D8" s="287"/>
      <c r="E8" s="167"/>
      <c r="F8" s="286"/>
    </row>
    <row r="9" spans="1:6" ht="12.9" x14ac:dyDescent="0.5">
      <c r="A9" s="282"/>
      <c r="B9" s="282"/>
      <c r="C9" s="283"/>
      <c r="D9" s="287"/>
      <c r="E9" s="167"/>
      <c r="F9" s="286"/>
    </row>
    <row r="10" spans="1:6" ht="12.9" x14ac:dyDescent="0.5">
      <c r="A10" s="282"/>
      <c r="B10" s="282"/>
      <c r="C10" s="283"/>
      <c r="D10" s="287"/>
      <c r="E10" s="167"/>
      <c r="F10" s="286"/>
    </row>
    <row r="11" spans="1:6" ht="12.9" x14ac:dyDescent="0.55000000000000004">
      <c r="A11" s="282"/>
      <c r="B11" s="282"/>
      <c r="C11" s="283"/>
      <c r="D11" s="287"/>
      <c r="E11" s="291"/>
      <c r="F11" s="286"/>
    </row>
    <row r="12" spans="1:6" ht="12.9" x14ac:dyDescent="0.55000000000000004">
      <c r="A12" s="282"/>
      <c r="B12" s="282"/>
      <c r="C12" s="283"/>
      <c r="D12" s="287"/>
      <c r="E12" s="291"/>
      <c r="F12" s="281"/>
    </row>
    <row r="13" spans="1:6" ht="12.9" x14ac:dyDescent="0.5">
      <c r="A13" s="284"/>
      <c r="B13" s="284"/>
      <c r="C13" s="285"/>
      <c r="D13" s="289"/>
      <c r="E13" s="292"/>
      <c r="F13" s="281"/>
    </row>
    <row r="14" spans="1:6" ht="12.9" x14ac:dyDescent="0.5">
      <c r="A14" s="284"/>
      <c r="B14" s="284"/>
      <c r="C14" s="285"/>
      <c r="D14" s="289"/>
      <c r="E14" s="292"/>
      <c r="F14" s="281"/>
    </row>
    <row r="15" spans="1:6" ht="12.9" x14ac:dyDescent="0.5">
      <c r="A15" s="284"/>
      <c r="B15" s="284"/>
      <c r="C15" s="285"/>
      <c r="D15" s="289"/>
      <c r="E15" s="292"/>
      <c r="F15" s="281"/>
    </row>
    <row r="16" spans="1:6" ht="12.9" x14ac:dyDescent="0.5">
      <c r="A16" s="284"/>
      <c r="B16" s="284"/>
      <c r="C16" s="285"/>
      <c r="D16" s="289"/>
      <c r="E16" s="292"/>
      <c r="F16" s="281"/>
    </row>
    <row r="17" spans="1:6" ht="12.9" x14ac:dyDescent="0.5">
      <c r="A17" s="284"/>
      <c r="B17" s="284"/>
      <c r="C17" s="285"/>
      <c r="D17" s="289"/>
      <c r="E17" s="292"/>
      <c r="F17" s="281"/>
    </row>
    <row r="18" spans="1:6" ht="12.9" x14ac:dyDescent="0.5">
      <c r="A18" s="284"/>
      <c r="B18" s="284"/>
      <c r="C18" s="285"/>
      <c r="D18" s="289"/>
      <c r="E18" s="292"/>
      <c r="F18" s="281"/>
    </row>
    <row r="19" spans="1:6" ht="12.9" x14ac:dyDescent="0.5">
      <c r="A19" s="284"/>
      <c r="B19" s="284"/>
      <c r="C19" s="285"/>
      <c r="D19" s="289"/>
      <c r="E19" s="292"/>
      <c r="F19" s="281"/>
    </row>
    <row r="20" spans="1:6" ht="12.9" x14ac:dyDescent="0.5">
      <c r="A20" s="284"/>
      <c r="B20" s="284"/>
      <c r="C20" s="285"/>
      <c r="D20" s="289"/>
      <c r="E20" s="292"/>
      <c r="F20" s="281"/>
    </row>
    <row r="21" spans="1:6" ht="12.9" x14ac:dyDescent="0.5">
      <c r="A21" s="284"/>
      <c r="B21" s="284"/>
      <c r="C21" s="285"/>
      <c r="D21" s="289"/>
      <c r="E21" s="292"/>
      <c r="F21" s="281"/>
    </row>
    <row r="22" spans="1:6" ht="12.9" x14ac:dyDescent="0.5">
      <c r="A22" s="284"/>
      <c r="B22" s="284"/>
      <c r="C22" s="285"/>
      <c r="D22" s="289"/>
      <c r="E22" s="292"/>
      <c r="F22" s="281"/>
    </row>
    <row r="23" spans="1:6" ht="12.9" x14ac:dyDescent="0.5">
      <c r="A23" s="284"/>
      <c r="B23" s="284"/>
      <c r="C23" s="285"/>
      <c r="D23" s="289"/>
      <c r="E23" s="292"/>
      <c r="F23" s="281"/>
    </row>
    <row r="24" spans="1:6" ht="12.9" x14ac:dyDescent="0.5">
      <c r="A24" s="284"/>
      <c r="B24" s="284"/>
      <c r="C24" s="285"/>
      <c r="D24" s="289"/>
      <c r="E24" s="292"/>
      <c r="F24" s="281"/>
    </row>
    <row r="25" spans="1:6" ht="12.9" x14ac:dyDescent="0.5">
      <c r="A25" s="284"/>
      <c r="B25" s="284"/>
      <c r="C25" s="285"/>
      <c r="D25" s="289"/>
      <c r="E25" s="292"/>
      <c r="F25" s="281"/>
    </row>
    <row r="26" spans="1:6" ht="12.9" x14ac:dyDescent="0.5">
      <c r="A26" s="284"/>
      <c r="B26" s="284"/>
      <c r="C26" s="285"/>
      <c r="D26" s="289"/>
      <c r="E26" s="292"/>
      <c r="F26" s="281"/>
    </row>
    <row r="27" spans="1:6" ht="12.9" x14ac:dyDescent="0.5">
      <c r="A27" s="284"/>
      <c r="B27" s="284"/>
      <c r="C27" s="285"/>
      <c r="D27" s="289"/>
      <c r="E27" s="292"/>
      <c r="F27" s="281"/>
    </row>
    <row r="28" spans="1:6" ht="12.9" x14ac:dyDescent="0.5">
      <c r="A28" s="284"/>
      <c r="B28" s="284"/>
      <c r="C28" s="285"/>
      <c r="D28" s="289"/>
      <c r="E28" s="292"/>
      <c r="F28" s="281"/>
    </row>
    <row r="29" spans="1:6" ht="12.9" x14ac:dyDescent="0.5">
      <c r="A29" s="284"/>
      <c r="B29" s="284"/>
      <c r="C29" s="285"/>
      <c r="D29" s="289"/>
      <c r="E29" s="292"/>
      <c r="F29" s="281"/>
    </row>
    <row r="30" spans="1:6" ht="12.9" x14ac:dyDescent="0.5">
      <c r="A30" s="284"/>
      <c r="B30" s="284"/>
      <c r="C30" s="285"/>
      <c r="D30" s="289"/>
      <c r="E30" s="292"/>
      <c r="F30" s="281"/>
    </row>
    <row r="31" spans="1:6" ht="12.9" x14ac:dyDescent="0.5">
      <c r="A31" s="284"/>
      <c r="B31" s="284"/>
      <c r="C31" s="285"/>
      <c r="D31" s="289"/>
      <c r="E31" s="292"/>
      <c r="F31" s="281"/>
    </row>
    <row r="32" spans="1:6" ht="12.9" x14ac:dyDescent="0.55000000000000004">
      <c r="A32" s="281"/>
      <c r="B32" s="281"/>
      <c r="C32" s="281"/>
      <c r="D32" s="293"/>
      <c r="E32" s="288"/>
      <c r="F32" s="281"/>
    </row>
    <row r="37" spans="2:2" ht="12.6" x14ac:dyDescent="0.55000000000000004">
      <c r="B37" s="248"/>
    </row>
    <row r="40" spans="2:2" ht="12.6" x14ac:dyDescent="0.55000000000000004">
      <c r="B40" s="248"/>
    </row>
  </sheetData>
  <pageMargins left="0.25" right="0.25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Cloning</vt:lpstr>
      <vt:lpstr>Oligos</vt:lpstr>
      <vt:lpstr>Oligo Order Form</vt:lpstr>
      <vt:lpstr>PartDefinitions</vt:lpstr>
      <vt:lpstr>Sandbox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Shyam Bhakta</dc:creator>
  <cp:lastModifiedBy>Shyam Bhakta</cp:lastModifiedBy>
  <cp:lastPrinted>2018-06-07T01:48:08Z</cp:lastPrinted>
  <dcterms:created xsi:type="dcterms:W3CDTF">2016-09-11T22:54:24Z</dcterms:created>
  <dcterms:modified xsi:type="dcterms:W3CDTF">2018-08-21T23:32:22Z</dcterms:modified>
</cp:coreProperties>
</file>